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chul\Desktop\"/>
    </mc:Choice>
  </mc:AlternateContent>
  <xr:revisionPtr revIDLastSave="0" documentId="13_ncr:1_{7FA1E4D1-4399-4CB1-84BB-1CD39C1BE7B7}" xr6:coauthVersionLast="47" xr6:coauthVersionMax="47" xr10:uidLastSave="{00000000-0000-0000-0000-000000000000}"/>
  <bookViews>
    <workbookView xWindow="-110" yWindow="-110" windowWidth="19420" windowHeight="10300" activeTab="2" xr2:uid="{12C60EB7-15BF-49C3-BFD7-59FD727C3C72}"/>
  </bookViews>
  <sheets>
    <sheet name="country_level_data" sheetId="2" r:id="rId1"/>
    <sheet name="PivotTables" sheetId="3" r:id="rId2"/>
    <sheet name="Dashboard" sheetId="5" r:id="rId3"/>
    <sheet name="lookup" sheetId="4" r:id="rId4"/>
  </sheets>
  <definedNames>
    <definedName name="ExternalData_1" localSheetId="0" hidden="1">'country_level_data'!$A$1:$N$218</definedName>
    <definedName name="Slicer_Income_Label">#N/A</definedName>
    <definedName name="Slicer_Recycling_performan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Q2" i="2" a="1"/>
  <c r="Q2" i="2"/>
  <c r="Q3" i="2" a="1"/>
  <c r="Q3" i="2"/>
  <c r="Q4" i="2" a="1"/>
  <c r="Q4" i="2"/>
  <c r="Q5" i="2" a="1"/>
  <c r="Q5" i="2"/>
  <c r="Q6" i="2" a="1"/>
  <c r="Q6" i="2"/>
  <c r="Q7" i="2" a="1"/>
  <c r="Q7" i="2" s="1"/>
  <c r="Q8" i="2" a="1"/>
  <c r="Q8" i="2" s="1"/>
  <c r="Q9" i="2" a="1"/>
  <c r="Q9" i="2"/>
  <c r="Q10" i="2" a="1"/>
  <c r="Q10" i="2"/>
  <c r="Q11" i="2" a="1"/>
  <c r="Q11" i="2" s="1"/>
  <c r="Q12" i="2" a="1"/>
  <c r="Q12" i="2" s="1"/>
  <c r="Q13" i="2" a="1"/>
  <c r="Q13" i="2" s="1"/>
  <c r="Q14" i="2" a="1"/>
  <c r="Q14" i="2"/>
  <c r="Q15" i="2" a="1"/>
  <c r="Q15" i="2" s="1"/>
  <c r="Q16" i="2" a="1"/>
  <c r="Q16" i="2" s="1"/>
  <c r="Q17" i="2" a="1"/>
  <c r="Q17" i="2"/>
  <c r="Q18" i="2" a="1"/>
  <c r="Q18" i="2" s="1"/>
  <c r="Q19" i="2" a="1"/>
  <c r="Q19" i="2" s="1"/>
  <c r="Q20" i="2" a="1"/>
  <c r="Q20" i="2" s="1"/>
  <c r="Q21" i="2" a="1"/>
  <c r="Q21" i="2" s="1"/>
  <c r="Q22" i="2" a="1"/>
  <c r="Q22" i="2"/>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c r="Q100" i="2" a="1"/>
  <c r="Q100" i="2"/>
  <c r="Q101" i="2" a="1"/>
  <c r="Q101" i="2"/>
  <c r="Q102" i="2" a="1"/>
  <c r="Q102" i="2"/>
  <c r="Q103" i="2" a="1"/>
  <c r="Q103" i="2"/>
  <c r="Q104" i="2" a="1"/>
  <c r="Q104" i="2"/>
  <c r="Q105" i="2" a="1"/>
  <c r="Q105" i="2"/>
  <c r="Q106" i="2" a="1"/>
  <c r="Q106" i="2" s="1"/>
  <c r="Q107" i="2" a="1"/>
  <c r="Q107" i="2"/>
  <c r="Q108" i="2" a="1"/>
  <c r="Q108" i="2" s="1"/>
  <c r="Q109" i="2" a="1"/>
  <c r="Q109" i="2" s="1"/>
  <c r="Q110" i="2" a="1"/>
  <c r="Q110" i="2" s="1"/>
  <c r="Q111" i="2" a="1"/>
  <c r="Q111" i="2" s="1"/>
  <c r="Q112" i="2" a="1"/>
  <c r="Q112" i="2" s="1"/>
  <c r="Q113" i="2" a="1"/>
  <c r="Q113" i="2" s="1"/>
  <c r="Q114" i="2" a="1"/>
  <c r="Q114" i="2" s="1"/>
  <c r="Q115" i="2" a="1"/>
  <c r="Q115" i="2"/>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DC597C-EA2E-456E-A0D2-675C1F34D00F}" keepAlive="1" name="Query - country_level_data" description="Connection to the 'country_level_data' query in the workbook." type="5" refreshedVersion="8" background="1" saveData="1">
    <dbPr connection="Provider=Microsoft.Mashup.OleDb.1;Data Source=$Workbook$;Location=country_level_data;Extended Properties=&quot;&quot;" command="SELECT * FROM [country_level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<sst xmlns="http://schemas.openxmlformats.org/spreadsheetml/2006/main" count="937" uniqueCount="478">
  <si>
    <t>iso3c</t>
  </si>
  <si>
    <t>region_id</t>
  </si>
  <si>
    <t>country_name</t>
  </si>
  <si>
    <t>income_id</t>
  </si>
  <si>
    <t>gdp</t>
  </si>
  <si>
    <t>total_msw_total_msw_generated_tons_year</t>
  </si>
  <si>
    <t>waste_collection_coverage_total_percent_of_population</t>
  </si>
  <si>
    <t>population_population_number_of_people</t>
  </si>
  <si>
    <t>waste_treatment_recycling_percent</t>
  </si>
  <si>
    <t>waste_treatment_controlled_landfill_percent</t>
  </si>
  <si>
    <t>waste_treatment_open_dump_percent</t>
  </si>
  <si>
    <t>waste_treatment_incineration_percent</t>
  </si>
  <si>
    <t>waste_treatment_compost_percent</t>
  </si>
  <si>
    <t>ABW</t>
  </si>
  <si>
    <t>LCN</t>
  </si>
  <si>
    <t>Aruba</t>
  </si>
  <si>
    <t>HIC</t>
  </si>
  <si>
    <t>AFG</t>
  </si>
  <si>
    <t>SAS</t>
  </si>
  <si>
    <t>Afghanistan</t>
  </si>
  <si>
    <t>LIC</t>
  </si>
  <si>
    <t>AGO</t>
  </si>
  <si>
    <t>SSF</t>
  </si>
  <si>
    <t>Angola</t>
  </si>
  <si>
    <t>LMC</t>
  </si>
  <si>
    <t>ALB</t>
  </si>
  <si>
    <t>ECS</t>
  </si>
  <si>
    <t>Albania</t>
  </si>
  <si>
    <t>UMC</t>
  </si>
  <si>
    <t>AND</t>
  </si>
  <si>
    <t>Andorra</t>
  </si>
  <si>
    <t>ARE</t>
  </si>
  <si>
    <t>MEA</t>
  </si>
  <si>
    <t>United Arab Emirates</t>
  </si>
  <si>
    <t>ARG</t>
  </si>
  <si>
    <t>Argentina</t>
  </si>
  <si>
    <t>ARM</t>
  </si>
  <si>
    <t>Armenia</t>
  </si>
  <si>
    <t>ASM</t>
  </si>
  <si>
    <t>EAS</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</si>
  <si>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</si>
  <si>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</si>
  <si>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</si>
  <si>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</si>
  <si>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</si>
  <si>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</si>
  <si>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</si>
  <si>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</si>
  <si>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</si>
  <si>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</si>
  <si>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</si>
  <si>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</si>
  <si>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</si>
  <si>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</si>
  <si>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</si>
  <si>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</si>
  <si>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</si>
  <si>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</si>
  <si>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</si>
  <si>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</si>
  <si>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</si>
  <si>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</si>
  <si>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</si>
  <si>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</si>
  <si>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</si>
  <si>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</si>
  <si>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</si>
  <si>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</si>
  <si>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</si>
  <si>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</si>
  <si>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</si>
  <si>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</si>
  <si>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NAC</t>
  </si>
  <si>
    <t>Bermuda</t>
  </si>
  <si>
    <t>BOL</t>
  </si>
  <si>
    <t>Bolivia</t>
  </si>
  <si>
    <t>BRA</t>
  </si>
  <si>
    <t>Brazil</t>
  </si>
  <si>
    <t>BRB</t>
  </si>
  <si>
    <t>Barbados</t>
  </si>
  <si>
    <t>BRN</t>
  </si>
  <si>
    <t>Brunei Darussalam</t>
  </si>
  <si>
    <t>BTN</t>
  </si>
  <si>
    <t>Bhutan</t>
  </si>
  <si>
    <t>BWA</t>
  </si>
  <si>
    <t>Botswana</t>
  </si>
  <si>
    <t>CAF</t>
  </si>
  <si>
    <t>Central African Republic</t>
  </si>
  <si>
    <t>CAN</t>
  </si>
  <si>
    <t>Canada</t>
  </si>
  <si>
    <t>CHE</t>
  </si>
  <si>
    <t>Switzerland</t>
  </si>
  <si>
    <t>CHI</t>
  </si>
  <si>
    <t>Channel Islands</t>
  </si>
  <si>
    <t>CHL</t>
  </si>
  <si>
    <t>Chile</t>
  </si>
  <si>
    <t>CHN</t>
  </si>
  <si>
    <t>China</t>
  </si>
  <si>
    <t>CIV</t>
  </si>
  <si>
    <t>CÃ´te dâ€™Ivoire</t>
  </si>
  <si>
    <t>CMR</t>
  </si>
  <si>
    <t>Cameroon</t>
  </si>
  <si>
    <t>COD</t>
  </si>
  <si>
    <t>Congo, Dem. Rep.</t>
  </si>
  <si>
    <t>COG</t>
  </si>
  <si>
    <t>Congo, Rep.</t>
  </si>
  <si>
    <t>COL</t>
  </si>
  <si>
    <t>Colombia</t>
  </si>
  <si>
    <t>COM</t>
  </si>
  <si>
    <t>Comoros</t>
  </si>
  <si>
    <t>CPV</t>
  </si>
  <si>
    <t>Cabo Verde</t>
  </si>
  <si>
    <t>CRI</t>
  </si>
  <si>
    <t>Costa Rica</t>
  </si>
  <si>
    <t>CUB</t>
  </si>
  <si>
    <t>Cuba</t>
  </si>
  <si>
    <t>CUW</t>
  </si>
  <si>
    <t>Curacao</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</si>
  <si>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</si>
  <si>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</si>
  <si>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</si>
  <si>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</si>
  <si>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</si>
  <si>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</si>
  <si>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</si>
  <si>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</si>
  <si>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</si>
  <si>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</si>
  <si>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</si>
  <si>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</si>
  <si>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</si>
  <si>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</si>
  <si>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</si>
  <si>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</si>
  <si>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</si>
  <si>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</si>
  <si>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</si>
  <si>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</si>
  <si>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</si>
  <si>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 Arab Rep.</t>
  </si>
  <si>
    <t>ERI</t>
  </si>
  <si>
    <t>Eritrea</t>
  </si>
  <si>
    <t>ESP</t>
  </si>
  <si>
    <t>Spain</t>
  </si>
  <si>
    <t>EST</t>
  </si>
  <si>
    <t>Estonia</t>
  </si>
  <si>
    <t>ETH</t>
  </si>
  <si>
    <t>Ethiopia</t>
  </si>
  <si>
    <t>FIN</t>
  </si>
  <si>
    <t>Finland</t>
  </si>
  <si>
    <t>FJI</t>
  </si>
  <si>
    <t>Fiji</t>
  </si>
  <si>
    <t>FRA</t>
  </si>
  <si>
    <t>France</t>
  </si>
  <si>
    <t>FRO</t>
  </si>
  <si>
    <t>Faeroe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</si>
  <si>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</si>
  <si>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</si>
  <si>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</si>
  <si>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</si>
  <si>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</si>
  <si>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</si>
  <si>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</si>
  <si>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</si>
  <si>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</si>
  <si>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</si>
  <si>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</si>
  <si>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</si>
  <si>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</si>
  <si>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</si>
  <si>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</si>
  <si>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</si>
  <si>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</si>
  <si>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</si>
  <si>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</si>
  <si>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</si>
  <si>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</si>
  <si>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</si>
  <si>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</si>
  <si>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</si>
  <si>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</si>
  <si>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</si>
  <si>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</si>
  <si>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</si>
  <si>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</si>
  <si>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</si>
  <si>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</si>
  <si>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</si>
  <si>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HKG</t>
  </si>
  <si>
    <t>Hong Kong SAR, China</t>
  </si>
  <si>
    <t>HND</t>
  </si>
  <si>
    <t>Honduras</t>
  </si>
  <si>
    <t>HRV</t>
  </si>
  <si>
    <t>Croatia</t>
  </si>
  <si>
    <t>HTI</t>
  </si>
  <si>
    <t>Haiti</t>
  </si>
  <si>
    <t>HUN</t>
  </si>
  <si>
    <t>Hungary</t>
  </si>
  <si>
    <t>IDN</t>
  </si>
  <si>
    <t>Indonesia</t>
  </si>
  <si>
    <t>IMN</t>
  </si>
  <si>
    <t>Isle of Man</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</si>
  <si>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</si>
  <si>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</si>
  <si>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</si>
  <si>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</si>
  <si>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</si>
  <si>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</si>
  <si>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</si>
  <si>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</si>
  <si>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</si>
  <si>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</si>
  <si>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</si>
  <si>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</si>
  <si>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</si>
  <si>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</si>
  <si>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</si>
  <si>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</si>
  <si>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</si>
  <si>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</si>
  <si>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</si>
  <si>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</si>
  <si>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</si>
  <si>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</si>
  <si>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</si>
  <si>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</si>
  <si>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</si>
  <si>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</si>
  <si>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</si>
  <si>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</si>
  <si>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</si>
  <si>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</si>
  <si>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</si>
  <si>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</si>
  <si>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</si>
  <si>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</si>
  <si>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</si>
  <si>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</si>
  <si>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LAO</t>
  </si>
  <si>
    <t>Lao PDR</t>
  </si>
  <si>
    <t>LBN</t>
  </si>
  <si>
    <t>Lebanon</t>
  </si>
  <si>
    <t>LBR</t>
  </si>
  <si>
    <t>Liberia</t>
  </si>
  <si>
    <t>LBY</t>
  </si>
  <si>
    <t>Libya</t>
  </si>
  <si>
    <t>LCA</t>
  </si>
  <si>
    <t>St. Lucia</t>
  </si>
  <si>
    <t>LIE</t>
  </si>
  <si>
    <t>Liechtenstein</t>
  </si>
  <si>
    <t>LKA</t>
  </si>
  <si>
    <t>Sri Lanka</t>
  </si>
  <si>
    <t>LSO</t>
  </si>
  <si>
    <t>Lesotho</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</si>
  <si>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</si>
  <si>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</si>
  <si>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</si>
  <si>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</si>
  <si>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</si>
  <si>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</si>
  <si>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</si>
  <si>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</si>
  <si>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</si>
  <si>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</si>
  <si>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</si>
  <si>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</si>
  <si>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</si>
  <si>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</si>
  <si>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</si>
  <si>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</si>
  <si>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</si>
  <si>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</si>
  <si>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</si>
  <si>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</si>
  <si>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MEX</t>
  </si>
  <si>
    <t>Mexico</t>
  </si>
  <si>
    <t>MHL</t>
  </si>
  <si>
    <t>Marshall Islands</t>
  </si>
  <si>
    <t>MKD</t>
  </si>
  <si>
    <t>Macedonia, FYR</t>
  </si>
  <si>
    <t>MLI</t>
  </si>
  <si>
    <t>Mali</t>
  </si>
  <si>
    <t>MLT</t>
  </si>
  <si>
    <t>Malta</t>
  </si>
  <si>
    <t>MMR</t>
  </si>
  <si>
    <t>Myanmar</t>
  </si>
  <si>
    <t>MNE</t>
  </si>
  <si>
    <t>Montenegro</t>
  </si>
  <si>
    <t>MNG</t>
  </si>
  <si>
    <t>Mongolia</t>
  </si>
  <si>
    <t>MNP</t>
  </si>
  <si>
    <t>Northern Mariana Islands</t>
  </si>
  <si>
    <t>MOZ</t>
  </si>
  <si>
    <t>Mozambique</t>
  </si>
  <si>
    <t>MRT</t>
  </si>
  <si>
    <t>Mauritania</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</si>
  <si>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</si>
  <si>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</si>
  <si>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</si>
  <si>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</si>
  <si>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</si>
  <si>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</si>
  <si>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</si>
  <si>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</si>
  <si>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</si>
  <si>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</si>
  <si>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</si>
  <si>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</si>
  <si>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</si>
  <si>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</si>
  <si>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</si>
  <si>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</si>
  <si>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</si>
  <si>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</si>
  <si>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</si>
  <si>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</si>
  <si>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</si>
  <si>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</si>
  <si>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</si>
  <si>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</si>
  <si>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</si>
  <si>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</si>
  <si>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</si>
  <si>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</si>
  <si>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</si>
  <si>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</si>
  <si>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</si>
  <si>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</si>
  <si>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</si>
  <si>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</si>
  <si>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</si>
  <si>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</si>
  <si>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</si>
  <si>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</si>
  <si>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</si>
  <si>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</si>
  <si>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</si>
  <si>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</si>
  <si>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</si>
  <si>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</si>
  <si>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PRT</t>
  </si>
  <si>
    <t>Portugal</t>
  </si>
  <si>
    <t>PRY</t>
  </si>
  <si>
    <t>Paraguay</t>
  </si>
  <si>
    <t>PSE</t>
  </si>
  <si>
    <t>West Bank and Gaza</t>
  </si>
  <si>
    <t>PYF</t>
  </si>
  <si>
    <t>French Polynesia</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</si>
  <si>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</si>
  <si>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</si>
  <si>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</si>
  <si>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</si>
  <si>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</si>
  <si>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</si>
  <si>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</si>
  <si>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</si>
  <si>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</si>
  <si>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</si>
  <si>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</si>
  <si>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</si>
  <si>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</si>
  <si>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</si>
  <si>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</si>
  <si>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</si>
  <si>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</si>
  <si>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</si>
  <si>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</si>
  <si>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</si>
  <si>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</si>
  <si>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</si>
  <si>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</si>
  <si>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</si>
  <si>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</si>
  <si>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</si>
  <si>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</si>
  <si>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</si>
  <si>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</si>
  <si>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</si>
  <si>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</si>
  <si>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SÃ£o TomÃ© and PrÃ­ncipe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</si>
  <si>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</si>
  <si>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</si>
  <si>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</si>
  <si>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</si>
  <si>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</si>
  <si>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</si>
  <si>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</si>
  <si>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</si>
  <si>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</si>
  <si>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</si>
  <si>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</si>
  <si>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</si>
  <si>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</si>
  <si>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</si>
  <si>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</si>
  <si>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</si>
  <si>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</si>
  <si>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</si>
  <si>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</si>
  <si>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</si>
  <si>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</si>
  <si>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</si>
  <si>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</si>
  <si>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</si>
  <si>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</si>
  <si>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</si>
  <si>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</si>
  <si>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</si>
  <si>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</si>
  <si>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</si>
  <si>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</si>
  <si>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</si>
  <si>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</si>
  <si>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</si>
  <si>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</si>
  <si>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</si>
  <si>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</si>
  <si>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Turkey</t>
  </si>
  <si>
    <t>TUV</t>
  </si>
  <si>
    <t>Tuvalu</t>
  </si>
  <si>
    <t>TWN</t>
  </si>
  <si>
    <t>TZA</t>
  </si>
  <si>
    <t>Tanzania</t>
  </si>
  <si>
    <t>UGA</t>
  </si>
  <si>
    <t>Uganda</t>
  </si>
  <si>
    <t>UKR</t>
  </si>
  <si>
    <t>Ukraine</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</si>
  <si>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</si>
  <si>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</si>
  <si>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</si>
  <si>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</si>
  <si>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</si>
  <si>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</si>
  <si>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</si>
  <si>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</si>
  <si>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</si>
  <si>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</si>
  <si>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</si>
  <si>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</si>
  <si>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</si>
  <si>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</si>
  <si>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</si>
  <si>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Vietnam</t>
  </si>
  <si>
    <t>VUT</t>
  </si>
  <si>
    <t>Vanuatu</t>
  </si>
  <si>
    <t>WSM</t>
  </si>
  <si>
    <t>Samoa</t>
  </si>
  <si>
    <t>XKX</t>
  </si>
  <si>
    <t>Kosovo</t>
  </si>
  <si>
    <t>YEM</t>
  </si>
  <si>
    <t>Yemen, Rep.</t>
  </si>
  <si>
    <t>ZAF</t>
  </si>
  <si>
    <t>South Africa</t>
  </si>
  <si>
    <t>ZMB</t>
  </si>
  <si>
    <t>Zambia</t>
  </si>
  <si>
    <t>ZWE</t>
  </si>
  <si>
    <t>Zimbabwe</t>
  </si>
  <si>
    <t>Taiwan</t>
  </si>
  <si>
    <t>MSW_per_capita (kg/year)</t>
  </si>
  <si>
    <t>Recycling gap (%)</t>
  </si>
  <si>
    <t>Row Labels</t>
  </si>
  <si>
    <t>Grand Total</t>
  </si>
  <si>
    <t>Average of waste_treatment_recycling_percent</t>
  </si>
  <si>
    <t>income_label</t>
  </si>
  <si>
    <t>High income</t>
  </si>
  <si>
    <t>MIC</t>
  </si>
  <si>
    <t>Middle income</t>
  </si>
  <si>
    <t>Low income</t>
  </si>
  <si>
    <t>Income_Label</t>
  </si>
  <si>
    <t>Lower-middle income</t>
  </si>
  <si>
    <t>Upper-middle income</t>
  </si>
  <si>
    <t>Count of country_name</t>
  </si>
  <si>
    <t>Average of waste_treatment_open_dump_percent</t>
  </si>
  <si>
    <t>Average of waste_treatment_controlled_landfill_percent</t>
  </si>
  <si>
    <t>Average of waste_treatment_incineration_percent</t>
  </si>
  <si>
    <t>Recycling performance</t>
  </si>
  <si>
    <t>Average of MSW_per_capita (kg/year)</t>
  </si>
  <si>
    <t>Average of Recycling gap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</si>
</sst>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43" fontId="0" fillId="0" borderId="0" xfId="0" applyNumberFormat="1"/>
    <xf numFmtId="0" fontId="0" fillId="0" borderId="0" xfId="0" applyNumberFormat="1"/>
  </cellXfs>
  <cellStyles count="1">
    <cellStyle name="Normal" xfId="0" builtinId="0"/>
  </cellStyles>
  <dxfs count="224">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 formatCode="0"/>
    </dxf>
    <dxf>
      <numFmt numFmtId="1" formatCode="0"/>
    </dxf>
    <dxf>
      <numFmt numFmtId="1" formatCode="0"/>
    </dxf>
    <dxf>
      <numFmt numFmtId="1" formatCode="0"/>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[Country_data_project.xlsx]PivotTables!PivotTable5</c:name>
    <c:fmtId val="5"/>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sz="1200" b="0" i="0" u="none" strike="noStrike" cap="none" spc="0" baseline="0">
                <a:ln w="0"/>
                <a:solidFill>
                  <a:schemeClr val="tx1"/>
                </a:solidFill>
                <a:effectLst>
                  <a:outerShdw blurRad="38100" dist="19050" dir="2700000" algn="tl" rotWithShape="0">
                    <a:schemeClr val="dk1">
                      <a:alpha val="40000"/>
                    </a:schemeClr>
                  </a:outerShdw>
                </a:effectLst>
              </a:rPr>
              <a:t>Recycling and Incineration Shares by Income Group</a:t>
            </a:r>
            <a:endParaRPr lang="en-US" sz="12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layout>
            <c:manualLayout>
              <c:x val="-5.3090871087422324E-2"/>
              <c:y val="-3.543718605303972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layout>
            <c:manualLayout>
              <c:x val="-2.9494928381901316E-2"/>
              <c:y val="-4.606834186895161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layout>
            <c:manualLayout>
              <c:x val="-4.1292899734661874E-2"/>
              <c:y val="-2.834974884243176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layout>
            <c:manualLayout>
              <c:x val="-0.10323224933665447"/>
              <c:y val="3.5437186053039701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layout>
            <c:manualLayout>
              <c:x val="-7.6686813792943287E-2"/>
              <c:y val="-6.02432162901675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layout>
            <c:manualLayout>
              <c:x val="-0.1002827564984643"/>
              <c:y val="-2.480603023712778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PivotTables!$I$12</c:f>
              <c:strCache>
                <c:ptCount val="1"/>
                <c:pt idx="0">
                  <c:v>Average of waste_treatment_recycling_percent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PivotTables!$H$13:$H$17</c:f>
              <c:strCache>
                <c:ptCount val="4"/>
                <c:pt idx="0">
                  <c:v>High income</c:v>
                </c:pt>
                <c:pt idx="1">
                  <c:v>Low income</c:v>
                </c:pt>
                <c:pt idx="2">
                  <c:v>Lower-middle income</c:v>
                </c:pt>
                <c:pt idx="3">
                  <c:v>Upper-middle income</c:v>
                </c:pt>
              </c:strCache>
            </c:strRef>
          </c:cat>
          <c:val>
            <c:numRef>
              <c:f>PivotTables!$I$13:$I$17</c:f>
              <c:numCache>
                <c:formatCode>_(* #,##0.00_);_(* \(#,##0.00\);_(* "-"??_);_(@_)</c:formatCode>
                <c:ptCount val="4"/>
                <c:pt idx="0">
                  <c:v>25.560380365737704</c:v>
                </c:pt>
                <c:pt idx="1">
                  <c:v>7.8545454545454554</c:v>
                </c:pt>
                <c:pt idx="2">
                  <c:v>10.676363636363634</c:v>
                </c:pt>
                <c:pt idx="3">
                  <c:v>9.6716441935483868</c:v>
                </c:pt>
              </c:numCache>
            </c:numRef>
          </c:val>
          <c:extLst>
            <c:ext xmlns:c16="http://schemas.microsoft.com/office/drawing/2014/chart" uri="{C3380CC4-5D6E-409C-BE32-E72D297353CC}">
              <c16:uniqueId val="{00000000-3521-49BE-B5D1-34A32D19D635}"/>
            </c:ext>
          </c:extLst>
        </c:ser>
        <c:ser>
          <c:idx val="1"/>
          <c:order val="1"/>
          <c:tx>
            <c:strRef>
              <c:f>PivotTables!$J$12</c:f>
              <c:strCache>
                <c:ptCount val="1"/>
                <c:pt idx="0">
                  <c:v>Average of waste_treatment_incineration_percent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PivotTables!$H$13:$H$17</c:f>
              <c:strCache>
                <c:ptCount val="4"/>
                <c:pt idx="0">
                  <c:v>High income</c:v>
                </c:pt>
                <c:pt idx="1">
                  <c:v>Low income</c:v>
                </c:pt>
                <c:pt idx="2">
                  <c:v>Lower-middle income</c:v>
                </c:pt>
                <c:pt idx="3">
                  <c:v>Upper-middle income</c:v>
                </c:pt>
              </c:strCache>
            </c:strRef>
          </c:cat>
          <c:val>
            <c:numRef>
              <c:f>PivotTables!$J$13:$J$17</c:f>
              <c:numCache>
                <c:formatCode>_(* #,##0.00_);_(* \(#,##0.00\);_(* "-"??_);_(@_)</c:formatCode>
                <c:ptCount val="4"/>
                <c:pt idx="0">
                  <c:v>31.453593035952384</c:v>
                </c:pt>
                <c:pt idx="2">
                  <c:v>2.73</c:v>
                </c:pt>
                <c:pt idx="3">
                  <c:v>6.96</c:v>
                </c:pt>
              </c:numCache>
            </c:numRef>
          </c:val>
          <c:extLst>
            <c:ext xmlns:c16="http://schemas.microsoft.com/office/drawing/2014/chart" uri="{C3380CC4-5D6E-409C-BE32-E72D297353CC}">
              <c16:uniqueId val="{00000001-3521-49BE-B5D1-34A32D19D635}"/>
            </c:ext>
          </c:extLst>
        </c:ser>
        <c:dLbls>
          <c:dLblPos val="outEnd"/>
          <c:showLegendKey val="0"/>
          <c:showVal val="1"/>
          <c:showCatName val="0"/>
          <c:showSerName val="0"/>
          <c:showPercent val="0"/>
          <c:showBubbleSize val="0"/>
        </c:dLbls>
        <c:gapWidth val="219"/>
        <c:overlap val="-27"/>
        <c:axId val="879508639"/>
        <c:axId val="879503839"/>
      </c:barChart>
      <c:lineChart>
        <c:grouping val="standard"/>
        <c:varyColors val="0"/>
        <c:ser>
          <c:idx val="2"/>
          <c:order val="2"/>
          <c:tx>
            <c:strRef>
              <c:f>PivotTables!$K$12</c:f>
              <c:strCache>
                <c:ptCount val="1"/>
                <c:pt idx="0">
                  <c:v>Average of waste_treatment_controlled_landfill_percent</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s>
            <c:dLbl>
              <c:idx val="0"/>
              <c:layout>
                <c:manualLayout>
                  <c:x val="-7.6686813792943287E-2"/>
                  <c:y val="-6.0243216290167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9-4788-8409-7D912B503B98}"/>
                </c:ext>
              </c:extLst>
            </c:dLbl>
            <c:dLbl>
              <c:idx val="2"/>
              <c:layout>
                <c:manualLayout>
                  <c:x val="-0.10323224933665447"/>
                  <c:y val="3.54371860530397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9-4788-8409-7D912B503B98}"/>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PivotTables!$H$13:$H$17</c:f>
              <c:strCache>
                <c:ptCount val="4"/>
                <c:pt idx="0">
                  <c:v>High income</c:v>
                </c:pt>
                <c:pt idx="1">
                  <c:v>Low income</c:v>
                </c:pt>
                <c:pt idx="2">
                  <c:v>Lower-middle income</c:v>
                </c:pt>
                <c:pt idx="3">
                  <c:v>Upper-middle income</c:v>
                </c:pt>
              </c:strCache>
            </c:strRef>
          </c:cat>
          <c:val>
            <c:numRef>
              <c:f>PivotTables!$K$13:$K$17</c:f>
              <c:numCache>
                <c:formatCode>_(* #,##0.00_);_(* \(#,##0.00\);_(* "-"??_);_(@_)</c:formatCode>
                <c:ptCount val="4"/>
                <c:pt idx="0">
                  <c:v>48.763204238666667</c:v>
                </c:pt>
                <c:pt idx="1">
                  <c:v>9.0133333333333336</c:v>
                </c:pt>
                <c:pt idx="2">
                  <c:v>48.333750000000002</c:v>
                </c:pt>
                <c:pt idx="3">
                  <c:v>43.705600588235306</c:v>
                </c:pt>
              </c:numCache>
            </c:numRef>
          </c:val>
          <c:smooth val="0"/>
          <c:extLst>
            <c:ext xmlns:c16="http://schemas.microsoft.com/office/drawing/2014/chart" uri="{C3380CC4-5D6E-409C-BE32-E72D297353CC}">
              <c16:uniqueId val="{00000002-3521-49BE-B5D1-34A32D19D635}"/>
            </c:ext>
          </c:extLst>
        </c:ser>
        <c:ser>
          <c:idx val="3"/>
          <c:order val="3"/>
          <c:tx>
            <c:strRef>
              <c:f>PivotTables!$L$12</c:f>
              <c:strCache>
                <c:ptCount val="1"/>
                <c:pt idx="0">
                  <c:v>Average of waste_treatment_open_dump_percent</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s>
            <c:dLbl>
              <c:idx val="0"/>
              <c:layout>
                <c:manualLayout>
                  <c:x val="-0.1002827564984643"/>
                  <c:y val="-2.4806030237127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9-4788-8409-7D912B503B98}"/>
                </c:ext>
              </c:extLst>
            </c:dLbl>
            <c:dLbl>
              <c:idx val="1"/>
              <c:layout>
                <c:manualLayout>
                  <c:x val="-5.3090871087422324E-2"/>
                  <c:y val="-3.5437186053039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9-4788-8409-7D912B503B98}"/>
                </c:ext>
              </c:extLst>
            </c:dLbl>
            <c:dLbl>
              <c:idx val="2"/>
              <c:layout>
                <c:manualLayout>
                  <c:x val="-2.9494928381901316E-2"/>
                  <c:y val="-4.6068341868951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9-4788-8409-7D912B503B98}"/>
                </c:ext>
              </c:extLst>
            </c:dLbl>
            <c:dLbl>
              <c:idx val="3"/>
              <c:layout>
                <c:manualLayout>
                  <c:x val="-4.1292899734661874E-2"/>
                  <c:y val="-2.83497488424317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9-4788-8409-7D912B503B98}"/>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PivotTables!$H$13:$H$17</c:f>
              <c:strCache>
                <c:ptCount val="4"/>
                <c:pt idx="0">
                  <c:v>High income</c:v>
                </c:pt>
                <c:pt idx="1">
                  <c:v>Low income</c:v>
                </c:pt>
                <c:pt idx="2">
                  <c:v>Lower-middle income</c:v>
                </c:pt>
                <c:pt idx="3">
                  <c:v>Upper-middle income</c:v>
                </c:pt>
              </c:strCache>
            </c:strRef>
          </c:cat>
          <c:val>
            <c:numRef>
              <c:f>PivotTables!$L$13:$L$17</c:f>
              <c:numCache>
                <c:formatCode>_(* #,##0.00_);_(* \(#,##0.00\);_(* "-"??_);_(@_)</c:formatCode>
                <c:ptCount val="4"/>
                <c:pt idx="0">
                  <c:v>39.741250000000001</c:v>
                </c:pt>
                <c:pt idx="1">
                  <c:v>71.891666666666666</c:v>
                </c:pt>
                <c:pt idx="2">
                  <c:v>53.241428571428557</c:v>
                </c:pt>
                <c:pt idx="3">
                  <c:v>49.152783385185195</c:v>
                </c:pt>
              </c:numCache>
            </c:numRef>
          </c:val>
          <c:smooth val="0"/>
          <c:extLst>
            <c:ext xmlns:c16="http://schemas.microsoft.com/office/drawing/2014/chart" uri="{C3380CC4-5D6E-409C-BE32-E72D297353CC}">
              <c16:uniqueId val="{00000003-3521-49BE-B5D1-34A32D19D635}"/>
            </c:ext>
          </c:extLst>
        </c:ser>
        <c:dLbls>
          <c:showLegendKey val="0"/>
          <c:showVal val="1"/>
          <c:showCatName val="0"/>
          <c:showSerName val="0"/>
          <c:showPercent val="0"/>
          <c:showBubbleSize val="0"/>
        </c:dLbls>
        <c:marker val="1"/>
        <c:smooth val="0"/>
        <c:axId val="879508639"/>
        <c:axId val="879503839"/>
      </c:lineChart>
      <c:catAx>
        <c:axId val="8795086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879503839"/>
        <c:crosses val="autoZero"/>
        <c:auto val="1"/>
        <c:lblAlgn val="ctr"/>
        <c:lblOffset val="100"/>
        <c:noMultiLvlLbl val="0"/>
      </c:catAx>
      <c:valAx>
        <c:axId val="879503839"/>
        <c:scaling>
          <c:orientation val="minMax"/>
        </c:scaling>
        <c:delete val="0"/>
        <c:axPos val="l"/>
        <c:majorGridlines>
          <c:spPr>
            <a:ln w="9525" cap="flat" cmpd="sng" algn="ctr">
              <a:solidFill>
                <a:schemeClr val="tx1"/>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879508639"/>
        <c:crosses val="autoZero"/>
        <c:crossBetween val="between"/>
      </c:valAx>
      <c:spPr>
        <a:noFill/>
        <a:ln>
          <a:noFill/>
        </a:ln>
        <a:effectLst/>
      </c:spPr>
    </c:plotArea>
    <c:legend>
      <c:legendPos val="r"/>
      <c:layout>
        <c:manualLayout>
          <c:xMode val="edge"/>
          <c:yMode val="edge"/>
          <c:x val="0.64012123112295549"/>
          <c:y val="9.5127638047371982E-2"/>
          <c:w val="0.34218181184790369"/>
          <c:h val="0.8097447239052559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alpha val="31000"/>
      </a:schemeClr>
    </a:solidFill>
    <a:ln w="9525" cap="flat" cmpd="sng" algn="ctr">
      <a:solidFill>
        <a:schemeClr val="accent3">
          <a:lumMod val="50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[Country_data_project.xlsx]PivotTables!PivotTable1</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0" i="0" u="none" strike="noStrike" cap="none" spc="0" baseline="0">
                <a:ln w="0"/>
                <a:solidFill>
                  <a:schemeClr val="accent1"/>
                </a:solidFill>
                <a:effectLst>
                  <a:outerShdw blurRad="38100" dist="25400" dir="5400000" algn="ctr" rotWithShape="0">
                    <a:srgbClr val="6E747A">
                      <a:alpha val="43000"/>
                    </a:srgbClr>
                  </a:outerShdw>
                </a:effectLst>
              </a:rPr>
              <a:t>Recycling Performance by Income Group</a:t>
            </a:r>
            <a:endParaRPr lang="en-US"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15518336205061145"/>
          <c:y val="1.81156405495553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23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04604033139091E-2"/>
          <c:y val="0.14546859361292919"/>
          <c:w val="0.8711892210734018"/>
          <c:h val="0.81226157843810842"/>
        </c:manualLayout>
      </c:layout>
      <c:barChart>
        <c:barDir val="bar"/>
        <c:grouping val="clustered"/>
        <c:varyColors val="0"/>
        <c:ser>
          <c:idx val="0"/>
          <c:order val="0"/>
          <c:tx>
            <c:strRef>
              <c:f>PivotTables!$B$3</c:f>
              <c:strCache>
                <c:ptCount val="1"/>
                <c:pt idx="0">
                  <c:v>Total</c:v>
                </c:pt>
              </c:strCache>
            </c:strRef>
          </c:tx>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23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PivotTables!$A$4:$A$8</c:f>
              <c:strCache>
                <c:ptCount val="4"/>
                <c:pt idx="0">
                  <c:v>LIC</c:v>
                </c:pt>
                <c:pt idx="1">
                  <c:v>UMC</c:v>
                </c:pt>
                <c:pt idx="2">
                  <c:v>LMC</c:v>
                </c:pt>
                <c:pt idx="3">
                  <c:v>HIC</c:v>
                </c:pt>
              </c:strCache>
            </c:strRef>
          </c:cat>
          <c:val>
            <c:numRef>
              <c:f>PivotTables!$B$4:$B$8</c:f>
              <c:numCache>
                <c:formatCode>_(* #,##0.00_);_(* \(#,##0.00\);_(* "-"??_);_(@_)</c:formatCode>
                <c:ptCount val="4"/>
                <c:pt idx="0">
                  <c:v>7.8545454545454554</c:v>
                </c:pt>
                <c:pt idx="1">
                  <c:v>9.6716441935483868</c:v>
                </c:pt>
                <c:pt idx="2">
                  <c:v>10.676363636363634</c:v>
                </c:pt>
                <c:pt idx="3">
                  <c:v>25.560380365737704</c:v>
                </c:pt>
              </c:numCache>
            </c:numRef>
          </c:val>
          <c:extLst>
            <c:ext xmlns:c16="http://schemas.microsoft.com/office/drawing/2014/chart" uri="{C3380CC4-5D6E-409C-BE32-E72D297353CC}">
              <c16:uniqueId val="{00000000-F2C6-455A-AB7C-82A324FF3FE0}"/>
            </c:ext>
          </c:extLst>
        </c:ser>
        <c:dLbls>
          <c:dLblPos val="outEnd"/>
          <c:showLegendKey val="0"/>
          <c:showVal val="1"/>
          <c:showCatName val="0"/>
          <c:showSerName val="0"/>
          <c:showPercent val="0"/>
          <c:showBubbleSize val="0"/>
        </c:dLbls>
        <c:gapWidth val="100"/>
        <c:axId val="874572191"/>
        <c:axId val="874581791"/>
      </c:barChart>
      <c:catAx>
        <c:axId val="874572191"/>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w="9525">
                  <a:solidFill>
                    <a:schemeClr val="tx1">
                      <a:alpha val="39000"/>
                    </a:schemeClr>
                  </a:solidFill>
                </a:ln>
                <a:solidFill>
                  <a:schemeClr val="tx1"/>
                </a:solidFill>
                <a:latin typeface="+mn-lt"/>
                <a:ea typeface="+mn-ea"/>
                <a:cs typeface="+mn-cs"/>
              </a:defRPr>
            </a:pPr>
            <a:endParaRPr lang="en-US"/>
          </a:p>
        </c:txPr>
        <c:crossAx val="874581791"/>
        <c:crosses val="autoZero"/>
        <c:auto val="1"/>
        <c:lblAlgn val="ctr"/>
        <c:lblOffset val="100"/>
        <c:noMultiLvlLbl val="0"/>
      </c:catAx>
      <c:valAx>
        <c:axId val="874581791"/>
        <c:scaling>
          <c:orientation val="minMax"/>
        </c:scaling>
        <c:delete val="1"/>
        <c:axPos val="b"/>
        <c:numFmt formatCode="_(* #,##0.00_);_(* \(#,##0.00\);_(* &quot;-&quot;??_);_(@_)" sourceLinked="1"/>
        <c:majorTickMark val="none"/>
        <c:minorTickMark val="none"/>
        <c:tickLblPos val="nextTo"/>
        <c:crossAx val="8745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alpha val="14000"/>
      </a:schemeClr>
    </a:solidFill>
    <a:ln w="9525" cap="flat" cmpd="sng" algn="ctr">
      <a:solidFill>
        <a:schemeClr val="accent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[Country_data_project.xlsx]PivotTables!PivotTable4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Countries with the Highest Recycling Rates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4950798546164E-2"/>
          <c:y val="6.7899975135083737E-2"/>
          <c:w val="0.90299337516343137"/>
          <c:h val="0.69018249684500099"/>
        </c:manualLayout>
      </c:layout>
      <c:barChart>
        <c:barDir val="col"/>
        <c:grouping val="clustered"/>
        <c:varyColors val="0"/>
        <c:ser>
          <c:idx val="0"/>
          <c:order val="0"/>
          <c:tx>
            <c:strRef>
              <c:f>PivotTables!$B$12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PivotTables!$A$13:$A$23</c:f>
              <c:strCache>
                <c:ptCount val="10"/>
                <c:pt idx="0">
                  <c:v>Australia</c:v>
                </c:pt>
                <c:pt idx="1">
                  <c:v>San Marino</c:v>
                </c:pt>
                <c:pt idx="2">
                  <c:v>Slovenia</c:v>
                </c:pt>
                <c:pt idx="3">
                  <c:v>Germany</c:v>
                </c:pt>
                <c:pt idx="4">
                  <c:v>Isle of Man</c:v>
                </c:pt>
                <c:pt idx="5">
                  <c:v>Iceland</c:v>
                </c:pt>
                <c:pt idx="6">
                  <c:v>Korea, Rep.</c:v>
                </c:pt>
                <c:pt idx="7">
                  <c:v>Singapore</c:v>
                </c:pt>
                <c:pt idx="8">
                  <c:v>Liechtenstein</c:v>
                </c:pt>
                <c:pt idx="9">
                  <c:v>Faeroe Islands</c:v>
                </c:pt>
              </c:strCache>
            </c:strRef>
          </c:cat>
          <c:val>
            <c:numRef>
              <c:f>PivotTables!$B$13:$B$23</c:f>
              <c:numCache>
                <c:formatCode>_(* #,##0.00_);_(* \(#,##0.00\);_(* "-"??_);_(@_)</c:formatCode>
                <c:ptCount val="10"/>
                <c:pt idx="0">
                  <c:v>42.1</c:v>
                </c:pt>
                <c:pt idx="1">
                  <c:v>45.05</c:v>
                </c:pt>
                <c:pt idx="2">
                  <c:v>46.44</c:v>
                </c:pt>
                <c:pt idx="3">
                  <c:v>47.83</c:v>
                </c:pt>
                <c:pt idx="4">
                  <c:v>50</c:v>
                </c:pt>
                <c:pt idx="5">
                  <c:v>55.81</c:v>
                </c:pt>
                <c:pt idx="6">
                  <c:v>58</c:v>
                </c:pt>
                <c:pt idx="7">
                  <c:v>61</c:v>
                </c:pt>
                <c:pt idx="8">
                  <c:v>64.599999999999994</c:v>
                </c:pt>
                <c:pt idx="9">
                  <c:v>67</c:v>
                </c:pt>
              </c:numCache>
            </c:numRef>
          </c:val>
          <c:extLst>
            <c:ext xmlns:c16="http://schemas.microsoft.com/office/drawing/2014/chart" uri="{C3380CC4-5D6E-409C-BE32-E72D297353CC}">
              <c16:uniqueId val="{00000000-5F4A-4299-B0FF-57260D8B7B1A}"/>
            </c:ext>
          </c:extLst>
        </c:ser>
        <c:dLbls>
          <c:showLegendKey val="0"/>
          <c:showVal val="1"/>
          <c:showCatName val="0"/>
          <c:showSerName val="0"/>
          <c:showPercent val="0"/>
          <c:showBubbleSize val="0"/>
        </c:dLbls>
        <c:gapWidth val="100"/>
        <c:overlap val="-24"/>
        <c:axId val="879418399"/>
        <c:axId val="879431359"/>
      </c:barChart>
      <c:catAx>
        <c:axId val="87941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431359"/>
        <c:crosses val="autoZero"/>
        <c:auto val="1"/>
        <c:lblAlgn val="ctr"/>
        <c:lblOffset val="100"/>
        <c:noMultiLvlLbl val="0"/>
      </c:catAx>
      <c:valAx>
        <c:axId val="879431359"/>
        <c:scaling>
          <c:orientation val="minMax"/>
        </c:scaling>
        <c:delete val="1"/>
        <c:axPos val="l"/>
        <c:numFmt formatCode="_(* #,##0.00_);_(* \(#,##0.00\);_(* &quot;-&quot;??_);_(@_)" sourceLinked="1"/>
        <c:majorTickMark val="none"/>
        <c:minorTickMark val="none"/>
        <c:tickLblPos val="nextTo"/>
        <c:crossAx val="8794183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[Country_data_project.xlsx]PivotTables!PivotTable3</c:name>
    <c:fmtId val="15"/>
  </c:pivotSource>
  <c:chart>
    <c:title>
      <c:tx>
        <c:rich>
          <a:bodyPr rot="0" spcFirstLastPara="1" vertOverflow="ellipsis" vert="horz" wrap="square" anchor="ctr" anchorCtr="0"/>
          <a:lstStyle/>
          <a:p>
            <a:pPr>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baseline="0">
                <a:solidFill>
                  <a:sysClr val="windowText" lastClr="000000">
                    <a:lumMod val="75000"/>
                    <a:lumOff val="25000"/>
                  </a:sysClr>
                </a:solidFill>
              </a:rPr>
              <a:t>Country Distribution </a:t>
            </a:r>
          </a:p>
          <a:p>
            <a:pPr>
              <a:defRPr b="1">
                <a:solidFill>
                  <a:sysClr val="windowText" lastClr="000000">
                    <a:lumMod val="75000"/>
                    <a:lumOff val="25000"/>
                  </a:sysClr>
                </a:solidFill>
              </a:defRPr>
            </a:pPr>
            <a:r>
              <a:rPr lang="en-US" sz="1800" b="1" i="0" u="none" strike="noStrike" baseline="0">
                <a:solidFill>
                  <a:sysClr val="windowText" lastClr="000000">
                    <a:lumMod val="75000"/>
                    <a:lumOff val="25000"/>
                  </a:sysClr>
                </a:solidFill>
              </a:rPr>
              <a:t>Across Income Groups</a:t>
            </a:r>
            <a:endParaRPr lang="en-US" b="1">
              <a:solidFill>
                <a:sysClr val="windowText" lastClr="000000">
                  <a:lumMod val="75000"/>
                  <a:lumOff val="25000"/>
                </a:sysClr>
              </a:solidFill>
            </a:endParaRPr>
          </a:p>
        </c:rich>
      </c:tx>
      <c:layout>
        <c:manualLayout>
          <c:xMode val="edge"/>
          <c:yMode val="edge"/>
          <c:x val="0.21618023851614951"/>
          <c:y val="0"/>
        </c:manualLayout>
      </c:layout>
      <c:overlay val="0"/>
      <c:spPr>
        <a:noFill/>
        <a:ln>
          <a:noFill/>
        </a:ln>
        <a:effectLst/>
      </c:spPr>
      <c:txPr>
        <a:bodyPr rot="0" spcFirstLastPara="1" vertOverflow="ellipsis" vert="horz" wrap="square" anchor="ctr" anchorCtr="0"/>
        <a:lstStyle/>
        <a:p>
          <a:pPr>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hade val="58000"/>
            </a:schemeClr>
          </a:solidFill>
          <a:ln>
            <a:noFill/>
          </a:ln>
          <a:effectLst>
            <a:outerShdw blurRad="254000" sx="102000" sy="102000" algn="ctr" rotWithShape="0">
              <a:prstClr val="black">
                <a:alpha val="20000"/>
              </a:prstClr>
            </a:outerShdw>
          </a:effectLst>
          <a:sp3d/>
        </c:spPr>
      </c:pivotFmt>
      <c:pivotFmt>
        <c:idx val="8"/>
        <c:spPr>
          <a:solidFill>
            <a:schemeClr val="accent6">
              <a:shade val="86000"/>
            </a:schemeClr>
          </a:solidFill>
          <a:ln>
            <a:noFill/>
          </a:ln>
          <a:effectLst>
            <a:outerShdw blurRad="254000" sx="102000" sy="102000" algn="ctr" rotWithShape="0">
              <a:prstClr val="black">
                <a:alpha val="20000"/>
              </a:prstClr>
            </a:outerShdw>
          </a:effectLst>
          <a:sp3d/>
        </c:spPr>
        <c:dLbl>
          <c:idx val="0"/>
          <c:layout>
            <c:manualLayout>
              <c:x val="-0.12703740562004479"/>
              <c:y val="-0.203136834914180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tint val="86000"/>
            </a:schemeClr>
          </a:solidFill>
          <a:ln>
            <a:noFill/>
          </a:ln>
          <a:effectLst>
            <a:outerShdw blurRad="254000" sx="102000" sy="102000" algn="ctr" rotWithShape="0">
              <a:prstClr val="black">
                <a:alpha val="20000"/>
              </a:prstClr>
            </a:outerShdw>
          </a:effectLst>
          <a:sp3d/>
        </c:spPr>
        <c:dLbl>
          <c:idx val="0"/>
          <c:layout>
            <c:manualLayout>
              <c:x val="0.16651281021481845"/>
              <c:y val="-0.1972021632702353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tint val="58000"/>
            </a:schemeClr>
          </a:solidFill>
          <a:ln>
            <a:noFill/>
          </a:ln>
          <a:effectLst>
            <a:outerShdw blurRad="254000" sx="102000" sy="102000" algn="ctr" rotWithShape="0">
              <a:prstClr val="black">
                <a:alpha val="20000"/>
              </a:prstClr>
            </a:outerShdw>
          </a:effectLst>
          <a:sp3d/>
        </c:spPr>
        <c:dLbl>
          <c:idx val="0"/>
          <c:layout>
            <c:manualLayout>
              <c:x val="0.12724216380556164"/>
              <c:y val="0.124070397556162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665366619495441"/>
          <c:w val="0.93733906129966671"/>
          <c:h val="0.81334633380504562"/>
        </c:manualLayout>
      </c:layout>
      <c:pie3DChart>
        <c:varyColors val="1"/>
        <c:ser>
          <c:idx val="0"/>
          <c:order val="0"/>
          <c:tx>
            <c:strRef>
              <c:f>PivotTables!$I$2</c:f>
              <c:strCache>
                <c:ptCount val="1"/>
                <c:pt idx="0">
                  <c:v>Total</c:v>
                </c:pt>
              </c:strCache>
            </c:strRef>
          </c:tx>
          <c:dPt>
            <c:idx val="0"/>
            <c:bubble3D val="0"/>
            <c:spPr>
              <a:solidFill>
                <a:schemeClr val="accent6">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02D-4B3E-8D1F-78CD82AB1B46}"/>
              </c:ext>
            </c:extLst>
          </c:dPt>
          <c:dPt>
            <c:idx val="1"/>
            <c:bubble3D val="0"/>
            <c:spPr>
              <a:solidFill>
                <a:schemeClr val="accent6">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02D-4B3E-8D1F-78CD82AB1B46}"/>
              </c:ext>
            </c:extLst>
          </c:dPt>
          <c:dPt>
            <c:idx val="2"/>
            <c:bubble3D val="0"/>
            <c:spPr>
              <a:solidFill>
                <a:schemeClr val="accent6">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02D-4B3E-8D1F-78CD82AB1B46}"/>
              </c:ext>
            </c:extLst>
          </c:dPt>
          <c:dPt>
            <c:idx val="3"/>
            <c:bubble3D val="0"/>
            <c:spPr>
              <a:solidFill>
                <a:schemeClr val="accent6">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02D-4B3E-8D1F-78CD82AB1B46}"/>
              </c:ext>
            </c:extLst>
          </c:dPt>
          <c:dLbls>
            <c:dLbl>
              <c:idx val="1"/>
              <c:layout>
                <c:manualLayout>
                  <c:x val="-0.12703740562004479"/>
                  <c:y val="-0.203136834914180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2D-4B3E-8D1F-78CD82AB1B46}"/>
                </c:ext>
              </c:extLst>
            </c:dLbl>
            <c:dLbl>
              <c:idx val="2"/>
              <c:layout>
                <c:manualLayout>
                  <c:x val="0.16651281021481845"/>
                  <c:y val="-0.1972021632702353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2D-4B3E-8D1F-78CD82AB1B46}"/>
                </c:ext>
              </c:extLst>
            </c:dLbl>
            <c:dLbl>
              <c:idx val="3"/>
              <c:layout>
                <c:manualLayout>
                  <c:x val="0.12724216380556164"/>
                  <c:y val="0.124070397556162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02D-4B3E-8D1F-78CD82AB1B4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PivotTables!$H$3:$H$7</c:f>
              <c:strCache>
                <c:ptCount val="4"/>
                <c:pt idx="0">
                  <c:v>High income</c:v>
                </c:pt>
                <c:pt idx="1">
                  <c:v>Low income</c:v>
                </c:pt>
                <c:pt idx="2">
                  <c:v>Lower-middle income</c:v>
                </c:pt>
                <c:pt idx="3">
                  <c:v>Upper-middle income</c:v>
                </c:pt>
              </c:strCache>
            </c:strRef>
          </c:cat>
          <c:val>
            <c:numRef>
              <c:f>PivotTables!$I$3:$I$7</c:f>
              <c:numCache>
                <c:formatCode>General</c:formatCode>
                <c:ptCount val="4"/>
                <c:pt idx="0">
                  <c:v>81</c:v>
                </c:pt>
                <c:pt idx="1">
                  <c:v>33</c:v>
                </c:pt>
                <c:pt idx="2">
                  <c:v>47</c:v>
                </c:pt>
                <c:pt idx="3">
                  <c:v>56</c:v>
                </c:pt>
              </c:numCache>
            </c:numRef>
          </c:val>
          <c:extLst>
            <c:ext xmlns:c16="http://schemas.microsoft.com/office/drawing/2014/chart" uri="{C3380CC4-5D6E-409C-BE32-E72D297353CC}">
              <c16:uniqueId val="{00000008-902D-4B3E-8D1F-78CD82AB1B46}"/>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hyperlink" Target="#PivotTables!A1"/><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hyperlink" Target="#'country_level_data'!A1"/><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2530719</xdr:colOff>
      <xdr:row>0</xdr:row>
      <xdr:rowOff>0</xdr:rowOff>
    </xdr:from>
    <xdr:to>
      <xdr:col>11</xdr:col>
      <xdr:colOff>824094</xdr:colOff>
      <xdr:row>8</xdr:row>
      <xdr:rowOff>105833</xdr:rowOff>
    </xdr:to>
    <mc:AlternateContent xmlns:mc="http://schemas.openxmlformats.org/markup-compatibility/2006" xmlns:a14="http://schemas.microsoft.com/office/drawing/2010/main">
      <mc:Choice Requires="a14">
        <xdr:graphicFrame macro="">
          <xdr:nvGraphicFramePr>
            <xdr:cNvPr id="12" name="Income_Label">
              <a:extLst>
                <a:ext uri="{FF2B5EF4-FFF2-40B4-BE49-F238E27FC236}">
                  <a16:creationId xmlns:a16="http://schemas.microsoft.com/office/drawing/2014/main" id="{8F2ADCEF-FE70-F75C-E3C3-52A899C6CCF6}"/>
                </a:ext>
              </a:extLst>
            </xdr:cNvPr>
            <xdr:cNvGraphicFramePr/>
          </xdr:nvGraphicFramePr>
          <xdr:xfrm>
            <a:off x="0" y="0"/>
            <a:ext cx="0" cy="0"/>
          </xdr:xfrm>
          <a:graphic>
            <a:graphicData uri="http://schemas.microsoft.com/office/drawing/2010/slicer">
              <sle:slicer xmlns:sle="http://schemas.microsoft.com/office/drawing/2010/slicer" name="Income_Label"/>
            </a:graphicData>
          </a:graphic>
        </xdr:graphicFrame>
      </mc:Choice>
      <mc:Fallback xmlns="">
        <xdr:sp macro="" textlink="">
          <xdr:nvSpPr>
            <xdr:cNvPr id="0" name=""/>
            <xdr:cNvSpPr>
              <a:spLocks noTextEdit="1"/>
            </xdr:cNvSpPr>
          </xdr:nvSpPr>
          <xdr:spPr>
            <a:xfrm>
              <a:off x="17257834" y="0"/>
              <a:ext cx="1828800" cy="1603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1215780</xdr:colOff>
      <xdr:row>1</xdr:row>
      <xdr:rowOff>86457</xdr:rowOff>
    </xdr:from>
    <xdr:to>
      <xdr:col>11</xdr:col>
      <xdr:colOff>3046060</xdr:colOff>
      <xdr:row>8</xdr:row>
      <xdr:rowOff>89551</xdr:rowOff>
    </xdr:to>
    <mc:AlternateContent xmlns:mc="http://schemas.openxmlformats.org/markup-compatibility/2006" xmlns:a14="http://schemas.microsoft.com/office/drawing/2010/main">
      <mc:Choice Requires="a14">
        <xdr:graphicFrame macro="">
          <xdr:nvGraphicFramePr>
            <xdr:cNvPr id="15" name="Recycling performance">
              <a:extLst>
                <a:ext uri="{FF2B5EF4-FFF2-40B4-BE49-F238E27FC236}">
                  <a16:creationId xmlns:a16="http://schemas.microsoft.com/office/drawing/2014/main" id="{C9EA22E1-FDED-876D-2B3F-673CB5B56611}"/>
                </a:ext>
              </a:extLst>
            </xdr:cNvPr>
            <xdr:cNvGraphicFramePr/>
          </xdr:nvGraphicFramePr>
          <xdr:xfrm>
            <a:off x="0" y="0"/>
            <a:ext cx="0" cy="0"/>
          </xdr:xfrm>
          <a:graphic>
            <a:graphicData uri="http://schemas.microsoft.com/office/drawing/2010/slicer">
              <sle:slicer xmlns:sle="http://schemas.microsoft.com/office/drawing/2010/slicer" name="Recycling performance"/>
            </a:graphicData>
          </a:graphic>
        </xdr:graphicFrame>
      </mc:Choice>
      <mc:Fallback xmlns="">
        <xdr:sp macro="" textlink="">
          <xdr:nvSpPr>
            <xdr:cNvPr id="0" name=""/>
            <xdr:cNvSpPr>
              <a:spLocks noTextEdit="1"/>
            </xdr:cNvSpPr>
          </xdr:nvSpPr>
          <xdr:spPr>
            <a:xfrm>
              <a:off x="19305139" y="273701"/>
              <a:ext cx="1828800" cy="131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519567</xdr:colOff>
      <xdr:row>0</xdr:row>
      <xdr:rowOff>8696</xdr:rowOff>
    </xdr:from>
    <xdr:to>
      <xdr:col>17</xdr:col>
      <xdr:colOff>78285</xdr:colOff>
      <xdr:row>8</xdr:row>
      <xdr:rowOff>8696</xdr:rowOff>
    </xdr:to>
    <mc:AlternateContent xmlns:mc="http://schemas.openxmlformats.org/markup-compatibility/2006">
      <mc:Choice xmlns:a14="http://schemas.microsoft.com/office/drawing/2010/main" Requires="a14">
        <xdr:graphicFrame macro="">
          <xdr:nvGraphicFramePr>
            <xdr:cNvPr id="3" name="Income_Label 1">
              <a:extLst>
                <a:ext uri="{FF2B5EF4-FFF2-40B4-BE49-F238E27FC236}">
                  <a16:creationId xmlns:a16="http://schemas.microsoft.com/office/drawing/2014/main" id="{66B3430E-B347-4893-8BBC-C9EB3D27EC98}"/>
                </a:ext>
              </a:extLst>
            </xdr:cNvPr>
            <xdr:cNvGraphicFramePr/>
          </xdr:nvGraphicFramePr>
          <xdr:xfrm>
            <a:off x="0" y="0"/>
            <a:ext cx="0" cy="0"/>
          </xdr:xfrm>
          <a:graphic>
            <a:graphicData uri="http://schemas.microsoft.com/office/drawing/2010/slicer">
              <sle:slicer xmlns:sle="http://schemas.microsoft.com/office/drawing/2010/slicer" name="Income_Label 1"/>
            </a:graphicData>
          </a:graphic>
        </xdr:graphicFrame>
      </mc:Choice>
      <mc:Fallback>
        <xdr:sp macro="" textlink="">
          <xdr:nvSpPr>
            <xdr:cNvPr id="0" name=""/>
            <xdr:cNvSpPr>
              <a:spLocks noTextEdit="1"/>
            </xdr:cNvSpPr>
          </xdr:nvSpPr>
          <xdr:spPr>
            <a:xfrm>
              <a:off x="8435320" y="8696"/>
              <a:ext cx="1994335" cy="1461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500693</xdr:colOff>
      <xdr:row>8</xdr:row>
      <xdr:rowOff>29397</xdr:rowOff>
    </xdr:from>
    <xdr:to>
      <xdr:col>17</xdr:col>
      <xdr:colOff>104382</xdr:colOff>
      <xdr:row>15</xdr:row>
      <xdr:rowOff>43494</xdr:rowOff>
    </xdr:to>
    <mc:AlternateContent xmlns:mc="http://schemas.openxmlformats.org/markup-compatibility/2006">
      <mc:Choice xmlns:a14="http://schemas.microsoft.com/office/drawing/2010/main" Requires="a14">
        <xdr:graphicFrame macro="">
          <xdr:nvGraphicFramePr>
            <xdr:cNvPr id="4" name="Recycling performance 1">
              <a:extLst>
                <a:ext uri="{FF2B5EF4-FFF2-40B4-BE49-F238E27FC236}">
                  <a16:creationId xmlns:a16="http://schemas.microsoft.com/office/drawing/2014/main" id="{A166906E-CC95-431C-A273-F9889E4A9771}"/>
                </a:ext>
              </a:extLst>
            </xdr:cNvPr>
            <xdr:cNvGraphicFramePr/>
          </xdr:nvGraphicFramePr>
          <xdr:xfrm>
            <a:off x="0" y="0"/>
            <a:ext cx="0" cy="0"/>
          </xdr:xfrm>
          <a:graphic>
            <a:graphicData uri="http://schemas.microsoft.com/office/drawing/2010/slicer">
              <sle:slicer xmlns:sle="http://schemas.microsoft.com/office/drawing/2010/slicer" name="Recycling performance 1"/>
            </a:graphicData>
          </a:graphic>
        </xdr:graphicFrame>
      </mc:Choice>
      <mc:Fallback>
        <xdr:sp macro="" textlink="">
          <xdr:nvSpPr>
            <xdr:cNvPr id="0" name=""/>
            <xdr:cNvSpPr>
              <a:spLocks noTextEdit="1"/>
            </xdr:cNvSpPr>
          </xdr:nvSpPr>
          <xdr:spPr>
            <a:xfrm>
              <a:off x="8416446" y="1490767"/>
              <a:ext cx="2039306" cy="1292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417529</xdr:colOff>
      <xdr:row>15</xdr:row>
      <xdr:rowOff>95715</xdr:rowOff>
    </xdr:from>
    <xdr:to>
      <xdr:col>13</xdr:col>
      <xdr:colOff>461026</xdr:colOff>
      <xdr:row>35</xdr:row>
      <xdr:rowOff>26096</xdr:rowOff>
    </xdr:to>
    <xdr:graphicFrame macro="">
      <xdr:nvGraphicFramePr>
        <xdr:cNvPr id="10" name="Chart 9">
          <a:extLst>
            <a:ext uri="{FF2B5EF4-FFF2-40B4-BE49-F238E27FC236}">
              <a16:creationId xmlns:a16="http://schemas.microsoft.com/office/drawing/2014/main" id="{F8F79E04-B7C4-41B0-BE49-B88D545B7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434408</xdr:colOff>
      <xdr:row>3</xdr:row>
      <xdr:rowOff>143702</xdr:rowOff>
    </xdr:from>
    <xdr:to>
      <xdr:col>13</xdr:col>
      <xdr:colOff>469725</xdr:colOff>
      <xdr:row>15</xdr:row>
      <xdr:rowOff>54803</xdr:rowOff>
    </xdr:to>
    <xdr:graphicFrame macro="">
      <xdr:nvGraphicFramePr>
        <xdr:cNvPr id="11" name="Chart 10">
          <a:extLst>
            <a:ext uri="{FF2B5EF4-FFF2-40B4-BE49-F238E27FC236}">
              <a16:creationId xmlns:a16="http://schemas.microsoft.com/office/drawing/2014/main" id="{511A918B-FE05-41BE-8DA7-3CD369E8F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5223</xdr:rowOff>
    </xdr:from>
    <xdr:to>
      <xdr:col>6</xdr:col>
      <xdr:colOff>386395</xdr:colOff>
      <xdr:row>34</xdr:row>
      <xdr:rowOff>175194</xdr:rowOff>
    </xdr:to>
    <xdr:graphicFrame macro="">
      <xdr:nvGraphicFramePr>
        <xdr:cNvPr id="12" name="Chart 11">
          <a:extLst>
            <a:ext uri="{FF2B5EF4-FFF2-40B4-BE49-F238E27FC236}">
              <a16:creationId xmlns:a16="http://schemas.microsoft.com/office/drawing/2014/main" id="{7FA31F8D-1D56-49DC-9C64-361784A26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304446</xdr:colOff>
      <xdr:row>0</xdr:row>
      <xdr:rowOff>17397</xdr:rowOff>
    </xdr:from>
    <xdr:to>
      <xdr:col>9</xdr:col>
      <xdr:colOff>347939</xdr:colOff>
      <xdr:row>3</xdr:row>
      <xdr:rowOff>95685</xdr:rowOff>
    </xdr:to>
    <xdr:sp macro="" textlink="PivotTables!D4">
      <xdr:nvSpPr>
        <xdr:cNvPr id="14" name="Rectangle: Rounded Corners 13">
          <a:extLst>
            <a:ext uri="{FF2B5EF4-FFF2-40B4-BE49-F238E27FC236}">
              <a16:creationId xmlns:a16="http://schemas.microsoft.com/office/drawing/2014/main" id="{7B615D08-C4A8-E4E3-5B06-9784D7A64BFE}"/>
            </a:ext>
          </a:extLst>
        </xdr:cNvPr>
        <xdr:cNvSpPr/>
      </xdr:nvSpPr>
      <xdr:spPr>
        <a:xfrm>
          <a:off x="4566775" y="17397"/>
          <a:ext cx="1261301" cy="62630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369862</xdr:colOff>
      <xdr:row>0</xdr:row>
      <xdr:rowOff>13221</xdr:rowOff>
    </xdr:from>
    <xdr:to>
      <xdr:col>11</xdr:col>
      <xdr:colOff>413355</xdr:colOff>
      <xdr:row>3</xdr:row>
      <xdr:rowOff>104382</xdr:rowOff>
    </xdr:to>
    <xdr:sp macro="" textlink="">
      <xdr:nvSpPr>
        <xdr:cNvPr id="15" name="Rectangle: Rounded Corners 14">
          <a:extLst>
            <a:ext uri="{FF2B5EF4-FFF2-40B4-BE49-F238E27FC236}">
              <a16:creationId xmlns:a16="http://schemas.microsoft.com/office/drawing/2014/main" id="{70B72ED7-7AFB-4BB9-8A72-9D759A582AEF}"/>
            </a:ext>
          </a:extLst>
        </xdr:cNvPr>
        <xdr:cNvSpPr/>
      </xdr:nvSpPr>
      <xdr:spPr>
        <a:xfrm>
          <a:off x="5849999" y="13221"/>
          <a:ext cx="1261301" cy="63917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443968</xdr:colOff>
      <xdr:row>0</xdr:row>
      <xdr:rowOff>17745</xdr:rowOff>
    </xdr:from>
    <xdr:to>
      <xdr:col>13</xdr:col>
      <xdr:colOff>487461</xdr:colOff>
      <xdr:row>3</xdr:row>
      <xdr:rowOff>104383</xdr:rowOff>
    </xdr:to>
    <xdr:sp macro="" textlink="">
      <xdr:nvSpPr>
        <xdr:cNvPr id="16" name="Rectangle: Rounded Corners 15">
          <a:extLst>
            <a:ext uri="{FF2B5EF4-FFF2-40B4-BE49-F238E27FC236}">
              <a16:creationId xmlns:a16="http://schemas.microsoft.com/office/drawing/2014/main" id="{C7046563-16E8-4433-87A7-33380DF10BEA}"/>
            </a:ext>
          </a:extLst>
        </xdr:cNvPr>
        <xdr:cNvSpPr/>
      </xdr:nvSpPr>
      <xdr:spPr>
        <a:xfrm>
          <a:off x="7141913" y="17745"/>
          <a:ext cx="1261301" cy="63465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8698</xdr:rowOff>
    </xdr:from>
    <xdr:to>
      <xdr:col>7</xdr:col>
      <xdr:colOff>287055</xdr:colOff>
      <xdr:row>3</xdr:row>
      <xdr:rowOff>95685</xdr:rowOff>
    </xdr:to>
    <xdr:sp macro="" textlink="">
      <xdr:nvSpPr>
        <xdr:cNvPr id="17" name="Rectangle: Rounded Corners 16">
          <a:extLst>
            <a:ext uri="{FF2B5EF4-FFF2-40B4-BE49-F238E27FC236}">
              <a16:creationId xmlns:a16="http://schemas.microsoft.com/office/drawing/2014/main" id="{12D2FFFB-0FE5-EE38-D3DA-2125A6E3C6BF}"/>
            </a:ext>
          </a:extLst>
        </xdr:cNvPr>
        <xdr:cNvSpPr/>
      </xdr:nvSpPr>
      <xdr:spPr>
        <a:xfrm>
          <a:off x="0" y="8698"/>
          <a:ext cx="4549384" cy="63500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endParaRPr lang="en-US" sz="1600" b="1" cap="none" spc="50">
            <a:ln w="0"/>
            <a:solidFill>
              <a:schemeClr val="bg2"/>
            </a:solidFill>
            <a:effectLst>
              <a:innerShdw blurRad="63500" dist="50800" dir="13500000">
                <a:srgbClr val="000000">
                  <a:alpha val="50000"/>
                </a:srgbClr>
              </a:innerShdw>
            </a:effectLst>
            <a:latin typeface="+mn-lt"/>
            <a:ea typeface="+mn-ea"/>
            <a:cs typeface="+mn-cs"/>
          </a:endParaRPr>
        </a:p>
      </xdr:txBody>
    </xdr:sp>
    <xdr:clientData/>
  </xdr:twoCellAnchor>
  <xdr:twoCellAnchor>
    <xdr:from>
      <xdr:col>0</xdr:col>
      <xdr:colOff>0</xdr:colOff>
      <xdr:row>0</xdr:row>
      <xdr:rowOff>52192</xdr:rowOff>
    </xdr:from>
    <xdr:to>
      <xdr:col>7</xdr:col>
      <xdr:colOff>539315</xdr:colOff>
      <xdr:row>2</xdr:row>
      <xdr:rowOff>113083</xdr:rowOff>
    </xdr:to>
    <xdr:sp macro="" textlink="">
      <xdr:nvSpPr>
        <xdr:cNvPr id="13" name="TextBox 12">
          <a:extLst>
            <a:ext uri="{FF2B5EF4-FFF2-40B4-BE49-F238E27FC236}">
              <a16:creationId xmlns:a16="http://schemas.microsoft.com/office/drawing/2014/main" id="{CA748267-A265-E9AE-3E02-B30BCA3D8031}"/>
            </a:ext>
          </a:extLst>
        </xdr:cNvPr>
        <xdr:cNvSpPr txBox="1"/>
      </xdr:nvSpPr>
      <xdr:spPr>
        <a:xfrm>
          <a:off x="0" y="52192"/>
          <a:ext cx="4801644" cy="426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cap="none" spc="50">
              <a:ln w="0"/>
              <a:solidFill>
                <a:schemeClr val="bg2"/>
              </a:solidFill>
              <a:effectLst>
                <a:innerShdw blurRad="63500" dist="50800" dir="13500000">
                  <a:srgbClr val="000000">
                    <a:alpha val="50000"/>
                  </a:srgbClr>
                </a:innerShdw>
              </a:effectLst>
              <a:latin typeface="Abadi ExtraLight" panose="020B0204020104020204" pitchFamily="34" charset="0"/>
              <a:ea typeface="+mn-ea"/>
              <a:cs typeface="+mn-cs"/>
            </a:rPr>
            <a:t>Global Waste &amp; Recycling Overview</a:t>
          </a:r>
          <a:endParaRPr lang="en-US" sz="2400" b="1" cap="none" spc="50">
            <a:ln w="0"/>
            <a:solidFill>
              <a:schemeClr val="bg2"/>
            </a:solidFill>
            <a:effectLst>
              <a:innerShdw blurRad="63500" dist="50800" dir="13500000">
                <a:srgbClr val="000000">
                  <a:alpha val="50000"/>
                </a:srgbClr>
              </a:innerShdw>
            </a:effectLst>
            <a:latin typeface="Abadi ExtraLight" panose="020B0204020104020204" pitchFamily="34" charset="0"/>
          </a:endParaRPr>
        </a:p>
        <a:p>
          <a:endParaRPr lang="en-US"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0</xdr:col>
      <xdr:colOff>0</xdr:colOff>
      <xdr:row>3</xdr:row>
      <xdr:rowOff>121779</xdr:rowOff>
    </xdr:from>
    <xdr:to>
      <xdr:col>6</xdr:col>
      <xdr:colOff>400137</xdr:colOff>
      <xdr:row>17</xdr:row>
      <xdr:rowOff>147878</xdr:rowOff>
    </xdr:to>
    <xdr:graphicFrame macro="">
      <xdr:nvGraphicFramePr>
        <xdr:cNvPr id="18" name="Chart 17">
          <a:extLst>
            <a:ext uri="{FF2B5EF4-FFF2-40B4-BE49-F238E27FC236}">
              <a16:creationId xmlns:a16="http://schemas.microsoft.com/office/drawing/2014/main" id="{8149EA8B-7F1E-41BC-BABA-C6D648BE7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434930</xdr:colOff>
      <xdr:row>0</xdr:row>
      <xdr:rowOff>0</xdr:rowOff>
    </xdr:from>
    <xdr:to>
      <xdr:col>9</xdr:col>
      <xdr:colOff>600204</xdr:colOff>
      <xdr:row>1</xdr:row>
      <xdr:rowOff>104384</xdr:rowOff>
    </xdr:to>
    <xdr:sp macro="" textlink="PivotTables!D4">
      <xdr:nvSpPr>
        <xdr:cNvPr id="19" name="TextBox 18">
          <a:extLst>
            <a:ext uri="{FF2B5EF4-FFF2-40B4-BE49-F238E27FC236}">
              <a16:creationId xmlns:a16="http://schemas.microsoft.com/office/drawing/2014/main" id="{D8E3E3C7-D181-4764-8B67-75020A4768AB}"/>
            </a:ext>
          </a:extLst>
        </xdr:cNvPr>
        <xdr:cNvSpPr txBox="1"/>
      </xdr:nvSpPr>
      <xdr:spPr>
        <a:xfrm>
          <a:off x="4697259" y="0"/>
          <a:ext cx="138308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B820B08-D894-4C9C-955D-C02F4F03C421}" type="TxLink">
            <a:rPr lang="en-US" sz="1800" b="1" i="0" u="none" strike="noStrike" cap="none" spc="50">
              <a:ln w="0"/>
              <a:solidFill>
                <a:schemeClr val="bg2"/>
              </a:solidFill>
              <a:effectLst>
                <a:innerShdw blurRad="63500" dist="50800" dir="13500000">
                  <a:srgbClr val="000000">
                    <a:alpha val="50000"/>
                  </a:srgbClr>
                </a:innerShdw>
              </a:effectLst>
              <a:latin typeface="Aptos Narrow"/>
            </a:rPr>
            <a:t> 374.06 </a:t>
          </a:fld>
          <a:endParaRPr lang="en-US"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11</xdr:col>
      <xdr:colOff>565758</xdr:colOff>
      <xdr:row>0</xdr:row>
      <xdr:rowOff>0</xdr:rowOff>
    </xdr:from>
    <xdr:to>
      <xdr:col>13</xdr:col>
      <xdr:colOff>556712</xdr:colOff>
      <xdr:row>1</xdr:row>
      <xdr:rowOff>86987</xdr:rowOff>
    </xdr:to>
    <xdr:sp macro="" textlink="PivotTables!D12">
      <xdr:nvSpPr>
        <xdr:cNvPr id="21" name="TextBox 20">
          <a:extLst>
            <a:ext uri="{FF2B5EF4-FFF2-40B4-BE49-F238E27FC236}">
              <a16:creationId xmlns:a16="http://schemas.microsoft.com/office/drawing/2014/main" id="{68EFFD16-772C-403E-8D65-961ECF8B454D}"/>
            </a:ext>
          </a:extLst>
        </xdr:cNvPr>
        <xdr:cNvSpPr txBox="1"/>
      </xdr:nvSpPr>
      <xdr:spPr>
        <a:xfrm>
          <a:off x="7263703" y="0"/>
          <a:ext cx="1208762" cy="269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91892A-39B0-4DF7-AE0F-B81D75FEC4B9}" type="TxLink">
            <a:rPr lang="en-US" sz="1800" b="1" i="0" u="none" strike="noStrike" cap="none" spc="50">
              <a:ln w="0"/>
              <a:solidFill>
                <a:schemeClr val="bg2"/>
              </a:solidFill>
              <a:effectLst>
                <a:innerShdw blurRad="63500" dist="50800" dir="13500000">
                  <a:srgbClr val="000000">
                    <a:alpha val="50000"/>
                  </a:srgbClr>
                </a:innerShdw>
              </a:effectLst>
              <a:latin typeface="Aptos Narrow"/>
            </a:rPr>
            <a:t> 17.44 </a:t>
          </a:fld>
          <a:r>
            <a:rPr lang="en-US" sz="1800" b="1" i="0" u="none" strike="noStrike" cap="none" spc="50">
              <a:ln w="0"/>
              <a:solidFill>
                <a:schemeClr val="bg2"/>
              </a:solidFill>
              <a:effectLst>
                <a:innerShdw blurRad="63500" dist="50800" dir="13500000">
                  <a:srgbClr val="000000">
                    <a:alpha val="50000"/>
                  </a:srgbClr>
                </a:innerShdw>
              </a:effectLst>
              <a:latin typeface="Aptos Narrow"/>
            </a:rPr>
            <a:t>%</a:t>
          </a:r>
        </a:p>
      </xdr:txBody>
    </xdr:sp>
    <xdr:clientData/>
  </xdr:twoCellAnchor>
  <xdr:twoCellAnchor>
    <xdr:from>
      <xdr:col>13</xdr:col>
      <xdr:colOff>521917</xdr:colOff>
      <xdr:row>15</xdr:row>
      <xdr:rowOff>86986</xdr:rowOff>
    </xdr:from>
    <xdr:to>
      <xdr:col>17</xdr:col>
      <xdr:colOff>86985</xdr:colOff>
      <xdr:row>34</xdr:row>
      <xdr:rowOff>182670</xdr:rowOff>
    </xdr:to>
    <xdr:sp macro="" textlink="">
      <xdr:nvSpPr>
        <xdr:cNvPr id="2" name="Rectangle: Rounded Corners 1">
          <a:extLst>
            <a:ext uri="{FF2B5EF4-FFF2-40B4-BE49-F238E27FC236}">
              <a16:creationId xmlns:a16="http://schemas.microsoft.com/office/drawing/2014/main" id="{90BD1530-FBB2-44B1-452F-A02BB65E8FCA}"/>
            </a:ext>
          </a:extLst>
        </xdr:cNvPr>
        <xdr:cNvSpPr/>
      </xdr:nvSpPr>
      <xdr:spPr>
        <a:xfrm>
          <a:off x="8437670" y="2827054"/>
          <a:ext cx="2000685" cy="3566438"/>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548013</xdr:colOff>
      <xdr:row>0</xdr:row>
      <xdr:rowOff>0</xdr:rowOff>
    </xdr:from>
    <xdr:to>
      <xdr:col>11</xdr:col>
      <xdr:colOff>374040</xdr:colOff>
      <xdr:row>1</xdr:row>
      <xdr:rowOff>104384</xdr:rowOff>
    </xdr:to>
    <xdr:sp macro="" textlink="PivotTables!D8">
      <xdr:nvSpPr>
        <xdr:cNvPr id="6" name="TextBox 5">
          <a:extLst>
            <a:ext uri="{FF2B5EF4-FFF2-40B4-BE49-F238E27FC236}">
              <a16:creationId xmlns:a16="http://schemas.microsoft.com/office/drawing/2014/main" id="{435FB155-AD93-1A0E-266E-4349D473C955}"/>
            </a:ext>
          </a:extLst>
        </xdr:cNvPr>
        <xdr:cNvSpPr txBox="1"/>
      </xdr:nvSpPr>
      <xdr:spPr>
        <a:xfrm>
          <a:off x="6028150" y="0"/>
          <a:ext cx="1043835"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3E2959-08D0-4B72-9BDA-E0FBD998B3FD}" type="TxLink">
            <a:rPr lang="en-US" sz="1800" b="1" i="0" u="none" strike="noStrike" cap="none" spc="50">
              <a:ln w="0"/>
              <a:solidFill>
                <a:schemeClr val="bg2"/>
              </a:solidFill>
              <a:effectLst>
                <a:innerShdw blurRad="63500" dist="50800" dir="13500000">
                  <a:srgbClr val="000000">
                    <a:alpha val="50000"/>
                  </a:srgbClr>
                </a:innerShdw>
              </a:effectLst>
              <a:latin typeface="Aptos Narrow"/>
            </a:rPr>
            <a:t> 89.95 </a:t>
          </a:fld>
          <a:r>
            <a:rPr lang="en-US" sz="1800" b="1" i="0" u="none" strike="noStrike" cap="none" spc="50">
              <a:ln w="0"/>
              <a:solidFill>
                <a:schemeClr val="bg2"/>
              </a:solidFill>
              <a:effectLst>
                <a:innerShdw blurRad="63500" dist="50800" dir="13500000">
                  <a:srgbClr val="000000">
                    <a:alpha val="50000"/>
                  </a:srgbClr>
                </a:innerShdw>
              </a:effectLst>
              <a:latin typeface="Aptos Narrow"/>
            </a:rPr>
            <a:t>%</a:t>
          </a:r>
          <a:endParaRPr lang="en-US"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9</xdr:col>
      <xdr:colOff>426233</xdr:colOff>
      <xdr:row>0</xdr:row>
      <xdr:rowOff>17397</xdr:rowOff>
    </xdr:from>
    <xdr:to>
      <xdr:col>11</xdr:col>
      <xdr:colOff>582808</xdr:colOff>
      <xdr:row>4</xdr:row>
      <xdr:rowOff>8697</xdr:rowOff>
    </xdr:to>
    <xdr:sp macro="" textlink="">
      <xdr:nvSpPr>
        <xdr:cNvPr id="7" name="TextBox 6">
          <a:extLst>
            <a:ext uri="{FF2B5EF4-FFF2-40B4-BE49-F238E27FC236}">
              <a16:creationId xmlns:a16="http://schemas.microsoft.com/office/drawing/2014/main" id="{407C711B-AD47-C659-2C21-90189C0A27B1}"/>
            </a:ext>
          </a:extLst>
        </xdr:cNvPr>
        <xdr:cNvSpPr txBox="1"/>
      </xdr:nvSpPr>
      <xdr:spPr>
        <a:xfrm>
          <a:off x="5906370" y="17397"/>
          <a:ext cx="1374383" cy="721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cap="none" spc="50">
              <a:ln w="0"/>
              <a:solidFill>
                <a:schemeClr val="bg2"/>
              </a:solidFill>
              <a:effectLst>
                <a:innerShdw blurRad="63500" dist="50800" dir="13500000">
                  <a:srgbClr val="000000">
                    <a:alpha val="50000"/>
                  </a:srgbClr>
                </a:innerShdw>
              </a:effectLst>
              <a:latin typeface="+mn-lt"/>
              <a:ea typeface="+mn-ea"/>
              <a:cs typeface="+mn-cs"/>
            </a:rPr>
            <a:t>      </a:t>
          </a:r>
          <a:endParaRPr lang="en-US" sz="1200" b="1" cap="none" spc="50">
            <a:ln w="0"/>
            <a:solidFill>
              <a:schemeClr val="bg2"/>
            </a:solidFill>
            <a:effectLst>
              <a:innerShdw blurRad="63500" dist="50800" dir="13500000">
                <a:srgbClr val="000000">
                  <a:alpha val="50000"/>
                </a:srgbClr>
              </a:innerShdw>
            </a:effectLst>
          </a:endParaRPr>
        </a:p>
        <a:p>
          <a:r>
            <a:rPr lang="en-US" sz="1200" b="1" i="0" cap="none" spc="50">
              <a:ln w="0"/>
              <a:solidFill>
                <a:schemeClr val="bg2"/>
              </a:solidFill>
              <a:effectLst>
                <a:innerShdw blurRad="63500" dist="50800" dir="13500000">
                  <a:srgbClr val="000000">
                    <a:alpha val="50000"/>
                  </a:srgbClr>
                </a:innerShdw>
              </a:effectLst>
              <a:latin typeface="+mn-lt"/>
              <a:ea typeface="+mn-ea"/>
              <a:cs typeface="+mn-cs"/>
            </a:rPr>
            <a:t>Average of Recycling gap </a:t>
          </a:r>
          <a:endParaRPr lang="en-US" sz="1200" b="1" cap="none" spc="50">
            <a:ln w="0"/>
            <a:solidFill>
              <a:schemeClr val="bg2"/>
            </a:solidFill>
            <a:effectLst>
              <a:innerShdw blurRad="63500" dist="50800" dir="13500000">
                <a:srgbClr val="000000">
                  <a:alpha val="50000"/>
                </a:srgbClr>
              </a:innerShdw>
            </a:effectLst>
          </a:endParaRPr>
        </a:p>
        <a:p>
          <a:endParaRPr lang="en-US" sz="12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7</xdr:col>
      <xdr:colOff>234862</xdr:colOff>
      <xdr:row>1</xdr:row>
      <xdr:rowOff>26095</xdr:rowOff>
    </xdr:from>
    <xdr:to>
      <xdr:col>9</xdr:col>
      <xdr:colOff>556711</xdr:colOff>
      <xdr:row>4</xdr:row>
      <xdr:rowOff>139176</xdr:rowOff>
    </xdr:to>
    <xdr:sp macro="" textlink="">
      <xdr:nvSpPr>
        <xdr:cNvPr id="8" name="TextBox 7">
          <a:extLst>
            <a:ext uri="{FF2B5EF4-FFF2-40B4-BE49-F238E27FC236}">
              <a16:creationId xmlns:a16="http://schemas.microsoft.com/office/drawing/2014/main" id="{D7F7D738-662E-9C35-E60D-653A568011B0}"/>
            </a:ext>
          </a:extLst>
        </xdr:cNvPr>
        <xdr:cNvSpPr txBox="1"/>
      </xdr:nvSpPr>
      <xdr:spPr>
        <a:xfrm>
          <a:off x="4497191" y="208766"/>
          <a:ext cx="1539657" cy="661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cap="none" spc="50">
              <a:ln w="0"/>
              <a:solidFill>
                <a:schemeClr val="bg2"/>
              </a:solidFill>
              <a:effectLst>
                <a:innerShdw blurRad="63500" dist="50800" dir="13500000">
                  <a:srgbClr val="000000">
                    <a:alpha val="50000"/>
                  </a:srgbClr>
                </a:innerShdw>
              </a:effectLst>
              <a:latin typeface="+mn-lt"/>
              <a:ea typeface="+mn-ea"/>
              <a:cs typeface="+mn-cs"/>
            </a:rPr>
            <a:t>Average MSW per Capita (kg/year)</a:t>
          </a:r>
          <a:endParaRPr lang="en-US" sz="1200" b="1" cap="none" spc="50">
            <a:ln w="0"/>
            <a:solidFill>
              <a:schemeClr val="bg2"/>
            </a:solidFill>
            <a:effectLst>
              <a:innerShdw blurRad="63500" dist="50800" dir="13500000">
                <a:srgbClr val="000000">
                  <a:alpha val="50000"/>
                </a:srgbClr>
              </a:innerShdw>
            </a:effectLst>
          </a:endParaRPr>
        </a:p>
        <a:p>
          <a:endParaRPr lang="en-US" sz="12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11</xdr:col>
      <xdr:colOff>391439</xdr:colOff>
      <xdr:row>1</xdr:row>
      <xdr:rowOff>52192</xdr:rowOff>
    </xdr:from>
    <xdr:to>
      <xdr:col>14</xdr:col>
      <xdr:colOff>130480</xdr:colOff>
      <xdr:row>5</xdr:row>
      <xdr:rowOff>43494</xdr:rowOff>
    </xdr:to>
    <xdr:sp macro="" textlink="">
      <xdr:nvSpPr>
        <xdr:cNvPr id="23" name="TextBox 22">
          <a:extLst>
            <a:ext uri="{FF2B5EF4-FFF2-40B4-BE49-F238E27FC236}">
              <a16:creationId xmlns:a16="http://schemas.microsoft.com/office/drawing/2014/main" id="{D4B0DB53-2165-052D-848E-C10C74E18A30}"/>
            </a:ext>
          </a:extLst>
        </xdr:cNvPr>
        <xdr:cNvSpPr txBox="1"/>
      </xdr:nvSpPr>
      <xdr:spPr>
        <a:xfrm>
          <a:off x="7089384" y="234863"/>
          <a:ext cx="1565754" cy="721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cap="none" spc="50">
              <a:ln w="0"/>
              <a:solidFill>
                <a:schemeClr val="bg2"/>
              </a:solidFill>
              <a:effectLst>
                <a:innerShdw blurRad="63500" dist="50800" dir="13500000">
                  <a:srgbClr val="000000">
                    <a:alpha val="50000"/>
                  </a:srgbClr>
                </a:innerShdw>
              </a:effectLst>
              <a:latin typeface="+mn-lt"/>
              <a:ea typeface="+mn-ea"/>
              <a:cs typeface="+mn-cs"/>
            </a:rPr>
            <a:t>Average Recycling Rate</a:t>
          </a:r>
          <a:endParaRPr lang="en-US" sz="1200" b="1" cap="none" spc="50">
            <a:ln w="0"/>
            <a:solidFill>
              <a:schemeClr val="bg2"/>
            </a:solidFill>
            <a:effectLst>
              <a:innerShdw blurRad="63500" dist="50800" dir="13500000">
                <a:srgbClr val="000000">
                  <a:alpha val="50000"/>
                </a:srgbClr>
              </a:innerShdw>
            </a:effectLst>
          </a:endParaRPr>
        </a:p>
        <a:p>
          <a:endParaRPr lang="en-US" sz="12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14</xdr:col>
      <xdr:colOff>191369</xdr:colOff>
      <xdr:row>15</xdr:row>
      <xdr:rowOff>147876</xdr:rowOff>
    </xdr:from>
    <xdr:to>
      <xdr:col>16</xdr:col>
      <xdr:colOff>400136</xdr:colOff>
      <xdr:row>23</xdr:row>
      <xdr:rowOff>130479</xdr:rowOff>
    </xdr:to>
    <xdr:pic>
      <xdr:nvPicPr>
        <xdr:cNvPr id="25" name="Graphic 24" descr="Database outline">
          <a:hlinkClick xmlns:r="http://schemas.openxmlformats.org/officeDocument/2006/relationships" r:id="rId5"/>
          <a:extLst>
            <a:ext uri="{FF2B5EF4-FFF2-40B4-BE49-F238E27FC236}">
              <a16:creationId xmlns:a16="http://schemas.microsoft.com/office/drawing/2014/main" id="{52FBA51E-43B8-BE99-46F7-B8BD96C3AE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716027" y="2887944"/>
          <a:ext cx="1426575" cy="1443973"/>
        </a:xfrm>
        <a:prstGeom prst="rect">
          <a:avLst/>
        </a:prstGeom>
      </xdr:spPr>
    </xdr:pic>
    <xdr:clientData/>
  </xdr:twoCellAnchor>
  <xdr:twoCellAnchor editAs="oneCell">
    <xdr:from>
      <xdr:col>14</xdr:col>
      <xdr:colOff>113083</xdr:colOff>
      <xdr:row>23</xdr:row>
      <xdr:rowOff>121780</xdr:rowOff>
    </xdr:from>
    <xdr:to>
      <xdr:col>16</xdr:col>
      <xdr:colOff>513219</xdr:colOff>
      <xdr:row>34</xdr:row>
      <xdr:rowOff>78288</xdr:rowOff>
    </xdr:to>
    <xdr:pic>
      <xdr:nvPicPr>
        <xdr:cNvPr id="27" name="Graphic 26" descr="Table outline">
          <a:hlinkClick xmlns:r="http://schemas.openxmlformats.org/officeDocument/2006/relationships" r:id="rId8"/>
          <a:extLst>
            <a:ext uri="{FF2B5EF4-FFF2-40B4-BE49-F238E27FC236}">
              <a16:creationId xmlns:a16="http://schemas.microsoft.com/office/drawing/2014/main" id="{02FFF248-45CB-297F-78C8-FA04166236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37741" y="4323218"/>
          <a:ext cx="1617944" cy="19658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Spectre" refreshedDate="46038.70559085648" createdVersion="8" refreshedVersion="8" minRefreshableVersion="3" recordCount="217" xr:uid="{C16C0488-B56D-43FB-B22A-B0FE67055C53}">
  <cacheSource type="worksheet">
    <worksheetSource name="country_level_data"/>
  </cacheSource>
  <cacheFields count="17">
    <cacheField name="iso3c" numFmtId="0">
      <sharedItems/>
    </cacheField>
    <cacheField name="region_id" numFmtId="0">
      <sharedItems/>
    </cacheField>
    <cacheField name="country_name" numFmtId="0">
      <sharedItems count="217">
        <s v="Aruba"/>
        <s v="Afghanistan"/>
        <s v="Angola"/>
        <s v="Albania"/>
        <s v="Andorra"/>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Switzerland"/>
        <s v="Channel Islands"/>
        <s v="Chile"/>
        <s v="China"/>
        <s v="CÃ´te dâ€™Ivoire"/>
        <s v="Cameroon"/>
        <s v="Congo, Dem. Rep."/>
        <s v="Congo, Rep."/>
        <s v="Colombia"/>
        <s v="Comoros"/>
        <s v="Cabo Verde"/>
        <s v="Costa Rica"/>
        <s v="Cuba"/>
        <s v="Curacao"/>
        <s v="Cayman Islands"/>
        <s v="Cyprus"/>
        <s v="Czech Republic"/>
        <s v="Germany"/>
        <s v="Djibouti"/>
        <s v="Dominica"/>
        <s v="Denmark"/>
        <s v="Dominican Republic"/>
        <s v="Algeria"/>
        <s v="Ecuador"/>
        <s v="Egypt, Arab Rep."/>
        <s v="Eritrea"/>
        <s v="Spain"/>
        <s v="Estonia"/>
        <s v="Ethiopia"/>
        <s v="Finland"/>
        <s v="Fiji"/>
        <s v="France"/>
        <s v="Faeroe Islands"/>
        <s v="Micronesia, Fed. Sts."/>
        <s v="Gabon"/>
        <s v="United Kingdom"/>
        <s v="Georgia"/>
        <s v="Ghana"/>
        <s v="Gibraltar"/>
        <s v="Guinea"/>
        <s v="Gambia, The"/>
        <s v="Guinea-Bissau"/>
        <s v="Equatorial Guinea"/>
        <s v="Greece"/>
        <s v="Grenada"/>
        <s v="Greenland"/>
        <s v="Guatemala"/>
        <s v="Guam"/>
        <s v="Guyana"/>
        <s v="Hong Kong SAR, China"/>
        <s v="Honduras"/>
        <s v="Croatia"/>
        <s v="Haiti"/>
        <s v="Hungary"/>
        <s v="Indonesia"/>
        <s v="Isle of Man"/>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St. Martin (French part)"/>
        <s v="Morocco"/>
        <s v="Monaco"/>
        <s v="Moldova"/>
        <s v="Madagascar"/>
        <s v="Maldives"/>
        <s v="Mexico"/>
        <s v="Marshall Islands"/>
        <s v="Macedonia, FYR"/>
        <s v="Mali"/>
        <s v="Malta"/>
        <s v="Myanmar"/>
        <s v="Montenegro"/>
        <s v="Mongolia"/>
        <s v="Northern Mariana Islands"/>
        <s v="Mozambique"/>
        <s v="Mauritania"/>
        <s v="Mauritius"/>
        <s v="Malawi"/>
        <s v="Malaysia"/>
        <s v="Namibia"/>
        <s v="New Caledonia"/>
        <s v="Niger"/>
        <s v="Nigeria"/>
        <s v="Nicaragua"/>
        <s v="Netherlands"/>
        <s v="Norway"/>
        <s v="Nepal"/>
        <s v="Nauru"/>
        <s v="New Zealand"/>
        <s v="Oman"/>
        <s v="Pakistan"/>
        <s v="Panama"/>
        <s v="Peru"/>
        <s v="Philippines"/>
        <s v="Palau"/>
        <s v="Papua New Guinea"/>
        <s v="Poland"/>
        <s v="Puerto Rico"/>
        <s v="Portugal"/>
        <s v="Paraguay"/>
        <s v="West Bank and Gaza"/>
        <s v="French Polynesia"/>
        <s v="Qatar"/>
        <s v="Romania"/>
        <s v="Russian Federation"/>
        <s v="Rwanda"/>
        <s v="Saudi Arabia"/>
        <s v="Sudan"/>
        <s v="Senegal"/>
        <s v="Singapore"/>
        <s v="Solomon Islands"/>
        <s v="Sierra Leone"/>
        <s v="El Salvador"/>
        <s v="San Marino"/>
        <s v="Somalia"/>
        <s v="Serbia"/>
        <s v="South Sudan"/>
        <s v="SÃ£o TomÃ© and PrÃ­ncipe"/>
        <s v="Suriname"/>
        <s v="Slovak Republic"/>
        <s v="Slovenia"/>
        <s v="Sweden"/>
        <s v="Eswatini"/>
        <s v="Sint Maarten (Dutch part)"/>
        <s v="Seychelles"/>
        <s v="Syrian Arab Republic"/>
        <s v="Turks and Caicos Islands"/>
        <s v="Chad"/>
        <s v="Togo"/>
        <s v="Thailand"/>
        <s v="Tajikistan"/>
        <s v="Turkmenistan"/>
        <s v="Timor-Leste"/>
        <s v="Tonga"/>
        <s v="Trinidad and Tobago"/>
        <s v="Tunisia"/>
        <s v="Turkey"/>
        <s v="Tuvalu"/>
        <s v="Taiwan"/>
        <s v="Tanzania"/>
        <s v="Uganda"/>
        <s v="Ukraine"/>
        <s v="Uruguay"/>
        <s v="United States"/>
        <s v="Uzbekistan"/>
        <s v="St. Vincent and the Grenadines"/>
        <s v="Venezuela, RB"/>
        <s v="British Virgin Islands"/>
        <s v="Virgin Islands (U.S.)"/>
        <s v="Vietnam"/>
        <s v="Vanuatu"/>
        <s v="Samoa"/>
        <s v="Kosovo"/>
        <s v="Yemen, Rep."/>
        <s v="South Africa"/>
        <s v="Zambia"/>
        <s v="Zimbabwe"/>
      </sharedItems>
    </cacheField>
    <cacheField name="income_id" numFmtId="0">
      <sharedItems count="4">
        <s v="HIC"/>
        <s v="LIC"/>
        <s v="LMC"/>
        <s v="UMC"/>
      </sharedItems>
    </cacheField>
    <cacheField name="gdp" numFmtId="0">
      <sharedItems containsString="0" containsBlank="1" containsNumber="1" minValue="822.61047359999998" maxValue="117335.58590000001"/>
    </cacheField>
    <cacheField name="Income_Label" numFmtId="0">
      <sharedItems count="4">
        <s v="High income"/>
        <s v="Low income"/>
        <s v="Lower-middle income"/>
        <s v="Upper-middle income"/>
      </sharedItems>
    </cacheField>
    <cacheField name="total_msw_total_msw_generated_tons_year" numFmtId="0">
      <sharedItems containsString="0" containsBlank="1" containsNumber="1" minValue="3989.4865" maxValue="395081376"/>
    </cacheField>
    <cacheField name="waste_collection_coverage_total_percent_of_population" numFmtId="0">
      <sharedItems containsString="0" containsBlank="1" containsNumber="1" minValue="8" maxValue="100"/>
    </cacheField>
    <cacheField name="population_population_number_of_people" numFmtId="0">
      <sharedItems containsSemiMixedTypes="0" containsString="0" containsNumber="1" containsInteger="1" minValue="11097" maxValue="1400050048"/>
    </cacheField>
    <cacheField name="waste_treatment_recycling_percent" numFmtId="0">
      <sharedItems containsString="0" containsBlank="1" containsNumber="1" minValue="9.7000000000000005E-4" maxValue="67"/>
    </cacheField>
    <cacheField name="waste_treatment_controlled_landfill_percent" numFmtId="0">
      <sharedItems containsString="0" containsBlank="1" containsNumber="1" minValue="0.04" maxValue="100"/>
    </cacheField>
    <cacheField name="waste_treatment_open_dump_percent" numFmtId="0">
      <sharedItems containsString="0" containsBlank="1" containsNumber="1" minValue="0" maxValue="100"/>
    </cacheField>
    <cacheField name="waste_treatment_incineration_percent" numFmtId="0">
      <sharedItems containsString="0" containsBlank="1" containsNumber="1" minValue="0.14000000000000001" maxValue="85"/>
    </cacheField>
    <cacheField name="waste_treatment_compost_percent" numFmtId="0">
      <sharedItems containsString="0" containsBlank="1" containsNumber="1" minValue="0.08" maxValue="31.24"/>
    </cacheField>
    <cacheField name="MSW_per_capita (kg/year)" numFmtId="0">
      <sharedItems containsSemiMixedTypes="0" containsString="0" containsNumber="1" minValue="0" maxValue="1384.9"/>
    </cacheField>
    <cacheField name="Recycling gap (%)" numFmtId="0">
      <sharedItems containsSemiMixedTypes="0" containsString="0" containsNumber="1" minValue="33" maxValue="100"/>
    </cacheField>
    <cacheField name="Recycling performance" numFmtId="0">
      <sharedItems count="3">
        <s v="Low"/>
        <s v="Medium"/>
        <s v="High"/>
      </sharedItems>
    </cacheField>
  </cacheFields>
  <extLst>
    <ext xmlns:x14="http://schemas.microsoft.com/office/spreadsheetml/2009/9/main" uri="{725AE2AE-9491-48be-B2B4-4EB974FC3084}">
      <x14:pivotCacheDefinition pivotCacheId="1528848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ABW"/>
    <s v="LCN"/>
    <x v="0"/>
    <x v="0"/>
    <n v="35563.3125"/>
    <x v="0"/>
    <n v="88132.016699999993"/>
    <m/>
    <n v="103187"/>
    <n v="11"/>
    <m/>
    <m/>
    <m/>
    <m/>
    <n v="854.1"/>
    <n v="89"/>
    <x v="0"/>
  </r>
  <r>
    <s v="AFG"/>
    <s v="SAS"/>
    <x v="1"/>
    <x v="1"/>
    <n v="2057.0622560000002"/>
    <x v="1"/>
    <n v="5628525.3700000001"/>
    <m/>
    <n v="34656032"/>
    <m/>
    <m/>
    <m/>
    <m/>
    <m/>
    <n v="162.41"/>
    <n v="100"/>
    <x v="0"/>
  </r>
  <r>
    <s v="AGO"/>
    <s v="SSF"/>
    <x v="2"/>
    <x v="2"/>
    <n v="8036.6904299999997"/>
    <x v="2"/>
    <n v="4213643.585"/>
    <n v="23.1"/>
    <n v="25096150"/>
    <m/>
    <m/>
    <m/>
    <m/>
    <m/>
    <n v="167.9"/>
    <n v="100"/>
    <x v="0"/>
  </r>
  <r>
    <s v="ALB"/>
    <s v="ECS"/>
    <x v="3"/>
    <x v="3"/>
    <n v="13724.058590000001"/>
    <x v="3"/>
    <n v="1087446.75"/>
    <n v="60"/>
    <n v="2854191"/>
    <m/>
    <m/>
    <m/>
    <m/>
    <m/>
    <n v="381"/>
    <n v="100"/>
    <x v="0"/>
  </r>
  <r>
    <s v="AND"/>
    <s v="ECS"/>
    <x v="4"/>
    <x v="0"/>
    <n v="43711.800779999998"/>
    <x v="0"/>
    <n v="43000"/>
    <n v="100"/>
    <n v="82431"/>
    <m/>
    <m/>
    <m/>
    <n v="52.1"/>
    <m/>
    <n v="521.65"/>
    <n v="100"/>
    <x v="0"/>
  </r>
  <r>
    <s v="ARE"/>
    <s v="MEA"/>
    <x v="5"/>
    <x v="0"/>
    <n v="67119.132809999996"/>
    <x v="0"/>
    <n v="5617682"/>
    <m/>
    <n v="9770529"/>
    <n v="20"/>
    <m/>
    <n v="62"/>
    <m/>
    <n v="9"/>
    <n v="574.96"/>
    <n v="80"/>
    <x v="1"/>
  </r>
  <r>
    <s v="ARG"/>
    <s v="LCN"/>
    <x v="6"/>
    <x v="0"/>
    <n v="23550.099610000001"/>
    <x v="0"/>
    <n v="17910550"/>
    <n v="89.91"/>
    <n v="42981516"/>
    <n v="6"/>
    <n v="8.9"/>
    <n v="22.6"/>
    <m/>
    <m/>
    <n v="416.7"/>
    <n v="94"/>
    <x v="0"/>
  </r>
  <r>
    <s v="ARM"/>
    <s v="ECS"/>
    <x v="7"/>
    <x v="3"/>
    <n v="11019.83887"/>
    <x v="3"/>
    <n v="492800"/>
    <m/>
    <n v="2906220"/>
    <m/>
    <m/>
    <n v="100"/>
    <m/>
    <m/>
    <n v="169.57"/>
    <n v="100"/>
    <x v="0"/>
  </r>
  <r>
    <s v="ASM"/>
    <s v="EAS"/>
    <x v="8"/>
    <x v="3"/>
    <n v="11113.44238"/>
    <x v="3"/>
    <n v="18989.490000000002"/>
    <n v="100"/>
    <n v="55599"/>
    <m/>
    <m/>
    <m/>
    <m/>
    <m/>
    <n v="341.54"/>
    <n v="100"/>
    <x v="0"/>
  </r>
  <r>
    <s v="ATG"/>
    <s v="LCN"/>
    <x v="9"/>
    <x v="0"/>
    <n v="17965.501950000002"/>
    <x v="0"/>
    <n v="30585"/>
    <n v="98.61"/>
    <n v="96777"/>
    <m/>
    <n v="98.68"/>
    <m/>
    <m/>
    <n v="0.08"/>
    <n v="316.04000000000002"/>
    <n v="100"/>
    <x v="0"/>
  </r>
  <r>
    <s v="AUS"/>
    <s v="EAS"/>
    <x v="10"/>
    <x v="0"/>
    <n v="47784.179689999997"/>
    <x v="0"/>
    <n v="13345000"/>
    <m/>
    <n v="23789338"/>
    <n v="42.1"/>
    <m/>
    <m/>
    <n v="9.77"/>
    <m/>
    <n v="560.97"/>
    <n v="57.9"/>
    <x v="2"/>
  </r>
  <r>
    <s v="AUT"/>
    <s v="ECS"/>
    <x v="11"/>
    <x v="0"/>
    <n v="56029.613279999998"/>
    <x v="0"/>
    <n v="5219715.5"/>
    <m/>
    <n v="8877067"/>
    <n v="25.66"/>
    <m/>
    <m/>
    <n v="37.9"/>
    <n v="31.24"/>
    <n v="588"/>
    <n v="74.34"/>
    <x v="1"/>
  </r>
  <r>
    <s v="AZE"/>
    <s v="ECS"/>
    <x v="12"/>
    <x v="3"/>
    <n v="14853.910159999999"/>
    <x v="3"/>
    <n v="2930349"/>
    <n v="56"/>
    <n v="9649341"/>
    <m/>
    <m/>
    <n v="100"/>
    <m/>
    <m/>
    <n v="303.68"/>
    <n v="100"/>
    <x v="0"/>
  </r>
  <r>
    <s v="BDI"/>
    <s v="SSF"/>
    <x v="13"/>
    <x v="1"/>
    <n v="839.77850339999998"/>
    <x v="1"/>
    <n v="1872016"/>
    <m/>
    <n v="6741569"/>
    <m/>
    <m/>
    <m/>
    <m/>
    <m/>
    <n v="277.68"/>
    <n v="100"/>
    <x v="0"/>
  </r>
  <r>
    <s v="BEL"/>
    <s v="ECS"/>
    <x v="14"/>
    <x v="0"/>
    <n v="51914.914060000003"/>
    <x v="0"/>
    <n v="4765883"/>
    <m/>
    <n v="11484055"/>
    <n v="34.302999999999997"/>
    <m/>
    <m/>
    <n v="43.39"/>
    <n v="19.137"/>
    <n v="415"/>
    <n v="65.697000000000003"/>
    <x v="1"/>
  </r>
  <r>
    <s v="BEN"/>
    <s v="SSF"/>
    <x v="15"/>
    <x v="1"/>
    <n v="2227.3522950000001"/>
    <x v="1"/>
    <n v="685936.01"/>
    <m/>
    <n v="5521763"/>
    <n v="25"/>
    <m/>
    <m/>
    <m/>
    <m/>
    <n v="124.22"/>
    <n v="75"/>
    <x v="1"/>
  </r>
  <r>
    <s v="BFA"/>
    <s v="SSF"/>
    <x v="16"/>
    <x v="1"/>
    <n v="1925.331177"/>
    <x v="1"/>
    <n v="2575251.11"/>
    <n v="9.6"/>
    <n v="18110624"/>
    <n v="12"/>
    <m/>
    <n v="59"/>
    <m/>
    <m/>
    <n v="142.19999999999999"/>
    <n v="88"/>
    <x v="0"/>
  </r>
  <r>
    <s v="BGD"/>
    <s v="SAS"/>
    <x v="17"/>
    <x v="2"/>
    <n v="3195.7370609999998"/>
    <x v="2"/>
    <n v="14778497.33"/>
    <m/>
    <n v="155727056"/>
    <m/>
    <m/>
    <m/>
    <m/>
    <n v="5.25"/>
    <n v="94.9"/>
    <n v="100"/>
    <x v="0"/>
  </r>
  <r>
    <s v="BGR"/>
    <s v="ECS"/>
    <x v="18"/>
    <x v="3"/>
    <n v="22279.36133"/>
    <x v="3"/>
    <n v="2859190"/>
    <m/>
    <n v="7025037"/>
    <n v="19.03"/>
    <m/>
    <m/>
    <n v="2.75"/>
    <n v="10.32"/>
    <n v="407"/>
    <n v="80.97"/>
    <x v="0"/>
  </r>
  <r>
    <s v="BHR"/>
    <s v="MEA"/>
    <x v="19"/>
    <x v="0"/>
    <n v="47937.777340000001"/>
    <x v="0"/>
    <n v="951942.96950000001"/>
    <m/>
    <n v="1425171"/>
    <n v="8"/>
    <m/>
    <m/>
    <m/>
    <m/>
    <n v="667.95"/>
    <n v="92"/>
    <x v="0"/>
  </r>
  <r>
    <s v="BHS"/>
    <s v="LCN"/>
    <x v="20"/>
    <x v="0"/>
    <n v="35400.082029999998"/>
    <x v="0"/>
    <n v="264000"/>
    <m/>
    <n v="386838"/>
    <m/>
    <m/>
    <m/>
    <m/>
    <m/>
    <n v="682.46"/>
    <n v="100"/>
    <x v="0"/>
  </r>
  <r>
    <s v="BIH"/>
    <s v="ECS"/>
    <x v="21"/>
    <x v="3"/>
    <n v="12671.007809999999"/>
    <x v="3"/>
    <n v="1248718"/>
    <m/>
    <n v="3535961"/>
    <n v="9.7000000000000005E-4"/>
    <n v="8.5500000000000007"/>
    <n v="41.75"/>
    <m/>
    <m/>
    <n v="353.15"/>
    <n v="99.999030000000005"/>
    <x v="0"/>
  </r>
  <r>
    <s v="BLR"/>
    <s v="ECS"/>
    <x v="22"/>
    <x v="3"/>
    <n v="18307.519530000001"/>
    <x v="3"/>
    <n v="4280000"/>
    <n v="93.2"/>
    <n v="9489616"/>
    <n v="16"/>
    <n v="76.900000000000006"/>
    <n v="7.1"/>
    <m/>
    <m/>
    <n v="451.02"/>
    <n v="84"/>
    <x v="0"/>
  </r>
  <r>
    <s v="BLZ"/>
    <s v="LCN"/>
    <x v="23"/>
    <x v="3"/>
    <n v="7259.0244140000004"/>
    <x v="3"/>
    <n v="101378.8303"/>
    <n v="85.2"/>
    <n v="359288"/>
    <m/>
    <m/>
    <n v="66"/>
    <m/>
    <m/>
    <n v="282.17"/>
    <n v="100"/>
    <x v="0"/>
  </r>
  <r>
    <s v="BMU"/>
    <s v="NAC"/>
    <x v="24"/>
    <x v="0"/>
    <n v="80982.367190000004"/>
    <x v="0"/>
    <n v="82000"/>
    <n v="100"/>
    <n v="64798"/>
    <n v="2"/>
    <n v="12.2"/>
    <m/>
    <n v="67.599999999999994"/>
    <n v="18.3"/>
    <n v="1265.47"/>
    <n v="98"/>
    <x v="0"/>
  </r>
  <r>
    <s v="BOL"/>
    <s v="LCN"/>
    <x v="25"/>
    <x v="2"/>
    <n v="7984.4135740000002"/>
    <x v="2"/>
    <n v="2219052"/>
    <n v="57.6"/>
    <n v="10724705"/>
    <n v="12.11"/>
    <n v="0.04"/>
    <n v="55.52"/>
    <m/>
    <n v="0.4"/>
    <n v="206.91"/>
    <n v="87.89"/>
    <x v="0"/>
  </r>
  <r>
    <s v="BRA"/>
    <s v="LCN"/>
    <x v="26"/>
    <x v="3"/>
    <n v="14596.246090000001"/>
    <x v="3"/>
    <n v="79069584"/>
    <n v="91.3"/>
    <n v="208494896"/>
    <n v="1.4"/>
    <n v="21.885210000000001"/>
    <n v="15.61932"/>
    <m/>
    <n v="0.2"/>
    <n v="379.24"/>
    <n v="98.6"/>
    <x v="0"/>
  </r>
  <r>
    <s v="BRB"/>
    <s v="LCN"/>
    <x v="27"/>
    <x v="0"/>
    <n v="15444.746090000001"/>
    <x v="0"/>
    <n v="174815.44440000001"/>
    <n v="90"/>
    <n v="280601"/>
    <n v="9"/>
    <n v="90"/>
    <m/>
    <m/>
    <m/>
    <n v="623"/>
    <n v="91"/>
    <x v="0"/>
  </r>
  <r>
    <s v="BRN"/>
    <s v="EAS"/>
    <x v="28"/>
    <x v="0"/>
    <n v="60865.988279999998"/>
    <x v="0"/>
    <n v="216253.15599999999"/>
    <m/>
    <n v="423196"/>
    <m/>
    <m/>
    <m/>
    <m/>
    <n v="2"/>
    <n v="511"/>
    <n v="100"/>
    <x v="0"/>
  </r>
  <r>
    <s v="BTN"/>
    <s v="SAS"/>
    <x v="29"/>
    <x v="2"/>
    <n v="6743.0161129999997"/>
    <x v="2"/>
    <n v="111314.05"/>
    <m/>
    <n v="686958"/>
    <n v="0.86"/>
    <n v="98"/>
    <m/>
    <m/>
    <n v="1.39"/>
    <n v="162.04"/>
    <n v="99.14"/>
    <x v="0"/>
  </r>
  <r>
    <s v="BWA"/>
    <s v="SSF"/>
    <x v="30"/>
    <x v="3"/>
    <n v="14126.389649999999"/>
    <x v="3"/>
    <n v="210854.44260000001"/>
    <m/>
    <n v="2014866"/>
    <n v="1"/>
    <m/>
    <m/>
    <m/>
    <m/>
    <n v="104.65"/>
    <n v="99"/>
    <x v="0"/>
  </r>
  <r>
    <s v="CAF"/>
    <s v="SSF"/>
    <x v="31"/>
    <x v="1"/>
    <n v="822.61047359999998"/>
    <x v="1"/>
    <n v="1105983"/>
    <m/>
    <n v="4515392"/>
    <m/>
    <m/>
    <m/>
    <m/>
    <m/>
    <n v="244.94"/>
    <n v="100"/>
    <x v="0"/>
  </r>
  <r>
    <s v="CAN"/>
    <s v="NAC"/>
    <x v="32"/>
    <x v="0"/>
    <n v="47672.078130000002"/>
    <x v="0"/>
    <n v="25103034"/>
    <n v="99"/>
    <n v="35544564"/>
    <n v="20.59"/>
    <m/>
    <m/>
    <n v="3"/>
    <n v="4.08"/>
    <n v="706.24"/>
    <n v="79.41"/>
    <x v="1"/>
  </r>
  <r>
    <s v="CHE"/>
    <s v="ECS"/>
    <x v="33"/>
    <x v="0"/>
    <n v="68394.289059999996"/>
    <x v="0"/>
    <n v="6079556"/>
    <n v="99"/>
    <n v="8574832"/>
    <n v="32"/>
    <m/>
    <m/>
    <n v="47"/>
    <n v="21"/>
    <n v="709"/>
    <n v="68"/>
    <x v="1"/>
  </r>
  <r>
    <s v="CHI"/>
    <s v="ECS"/>
    <x v="34"/>
    <x v="0"/>
    <n v="46672.59375"/>
    <x v="0"/>
    <n v="178933"/>
    <m/>
    <n v="164541"/>
    <n v="28.430202309999999"/>
    <n v="39.218063579999999"/>
    <m/>
    <n v="16.44190751"/>
    <n v="15.90982659"/>
    <n v="1087.47"/>
    <n v="71.569797690000001"/>
    <x v="1"/>
  </r>
  <r>
    <s v="CHL"/>
    <s v="LCN"/>
    <x v="35"/>
    <x v="0"/>
    <n v="20361.714840000001"/>
    <x v="0"/>
    <n v="6517000"/>
    <m/>
    <n v="16829442"/>
    <n v="0.37"/>
    <n v="85.25"/>
    <n v="8.43"/>
    <n v="0.14000000000000001"/>
    <n v="0.44"/>
    <n v="387.24"/>
    <n v="99.63"/>
    <x v="0"/>
  </r>
  <r>
    <s v="CHN"/>
    <s v="EAS"/>
    <x v="36"/>
    <x v="3"/>
    <n v="16092.30078"/>
    <x v="3"/>
    <n v="395081376"/>
    <n v="94"/>
    <n v="1400050048"/>
    <m/>
    <m/>
    <n v="8.2100000000000009"/>
    <n v="29.84"/>
    <n v="3"/>
    <n v="282.19"/>
    <n v="100"/>
    <x v="0"/>
  </r>
  <r>
    <s v="CIV"/>
    <s v="SSF"/>
    <x v="37"/>
    <x v="2"/>
    <n v="3660.9028320000002"/>
    <x v="2"/>
    <n v="4440814.2699999996"/>
    <m/>
    <n v="20401332"/>
    <n v="3"/>
    <m/>
    <m/>
    <m/>
    <m/>
    <n v="217.67"/>
    <n v="97"/>
    <x v="0"/>
  </r>
  <r>
    <s v="CMR"/>
    <s v="SSF"/>
    <x v="38"/>
    <x v="2"/>
    <n v="3262.763672"/>
    <x v="2"/>
    <n v="3270616.59"/>
    <n v="61.6"/>
    <n v="21655716"/>
    <n v="0.4"/>
    <m/>
    <n v="80.3"/>
    <m/>
    <m/>
    <n v="151.03"/>
    <n v="99.6"/>
    <x v="0"/>
  </r>
  <r>
    <s v="COD"/>
    <s v="SSF"/>
    <x v="39"/>
    <x v="1"/>
    <n v="1055.5729980000001"/>
    <x v="1"/>
    <n v="14385226.02"/>
    <m/>
    <n v="78736152"/>
    <n v="4.9000000000000004"/>
    <m/>
    <m/>
    <m/>
    <m/>
    <n v="182.7"/>
    <n v="95.1"/>
    <x v="0"/>
  </r>
  <r>
    <s v="COG"/>
    <s v="SSF"/>
    <x v="40"/>
    <x v="2"/>
    <n v="4899.5795900000003"/>
    <x v="2"/>
    <n v="451200"/>
    <m/>
    <n v="2648507"/>
    <n v="26.2"/>
    <m/>
    <m/>
    <m/>
    <m/>
    <n v="170.36"/>
    <n v="73.8"/>
    <x v="1"/>
  </r>
  <r>
    <s v="COL"/>
    <s v="LCN"/>
    <x v="41"/>
    <x v="3"/>
    <n v="12523.00684"/>
    <x v="3"/>
    <n v="12150120"/>
    <n v="80.599999999999994"/>
    <n v="46406648"/>
    <n v="17.2"/>
    <m/>
    <n v="4"/>
    <m/>
    <m/>
    <n v="261.82"/>
    <n v="82.8"/>
    <x v="0"/>
  </r>
  <r>
    <s v="COM"/>
    <s v="SSF"/>
    <x v="42"/>
    <x v="1"/>
    <n v="2959.540039"/>
    <x v="1"/>
    <n v="91013"/>
    <m/>
    <n v="777424"/>
    <m/>
    <m/>
    <m/>
    <m/>
    <m/>
    <n v="117.07"/>
    <n v="100"/>
    <x v="0"/>
  </r>
  <r>
    <s v="CPV"/>
    <s v="SSF"/>
    <x v="43"/>
    <x v="2"/>
    <n v="6353.783203"/>
    <x v="2"/>
    <n v="132555"/>
    <n v="70.599999999999994"/>
    <n v="513979"/>
    <m/>
    <m/>
    <m/>
    <m/>
    <m/>
    <n v="257.89999999999998"/>
    <n v="100"/>
    <x v="0"/>
  </r>
  <r>
    <s v="CRI"/>
    <s v="LCN"/>
    <x v="44"/>
    <x v="3"/>
    <n v="18168.714840000001"/>
    <x v="3"/>
    <n v="1460000"/>
    <n v="90.4"/>
    <n v="4757575"/>
    <n v="1.26"/>
    <n v="23.5"/>
    <n v="9.1"/>
    <m/>
    <m/>
    <n v="306.88"/>
    <n v="98.74"/>
    <x v="0"/>
  </r>
  <r>
    <s v="CUB"/>
    <s v="LCN"/>
    <x v="45"/>
    <x v="3"/>
    <n v="12984.710940000001"/>
    <x v="3"/>
    <n v="2692691.98"/>
    <n v="76.900000000000006"/>
    <n v="11303687"/>
    <n v="9.49"/>
    <n v="30.68"/>
    <n v="42.23"/>
    <m/>
    <m/>
    <n v="238.21"/>
    <n v="90.51"/>
    <x v="0"/>
  </r>
  <r>
    <s v="CUW"/>
    <s v="LCN"/>
    <x v="46"/>
    <x v="0"/>
    <n v="27503.789059999999"/>
    <x v="0"/>
    <n v="24703.813200000001"/>
    <m/>
    <n v="153822"/>
    <n v="2"/>
    <m/>
    <m/>
    <m/>
    <m/>
    <n v="160.6"/>
    <n v="98"/>
    <x v="0"/>
  </r>
  <r>
    <s v="CYM"/>
    <s v="LCN"/>
    <x v="47"/>
    <x v="0"/>
    <n v="66207.445309999996"/>
    <x v="0"/>
    <n v="60000"/>
    <m/>
    <n v="59172"/>
    <n v="21"/>
    <m/>
    <m/>
    <m/>
    <m/>
    <n v="1013.99"/>
    <n v="79"/>
    <x v="1"/>
  </r>
  <r>
    <s v="CYP"/>
    <s v="ECS"/>
    <x v="48"/>
    <x v="0"/>
    <n v="39544.683590000001"/>
    <x v="0"/>
    <n v="769485.125"/>
    <m/>
    <n v="1198575"/>
    <n v="13.31"/>
    <m/>
    <m/>
    <m/>
    <n v="4.62"/>
    <n v="642"/>
    <n v="86.69"/>
    <x v="0"/>
  </r>
  <r>
    <s v="CZE"/>
    <s v="ECS"/>
    <x v="49"/>
    <x v="0"/>
    <n v="40836.328130000002"/>
    <x v="0"/>
    <n v="5334854.5"/>
    <m/>
    <n v="10669709"/>
    <n v="25.5"/>
    <m/>
    <m/>
    <n v="17.68"/>
    <n v="4.22"/>
    <n v="500"/>
    <n v="74.5"/>
    <x v="1"/>
  </r>
  <r>
    <s v="DEU"/>
    <s v="ECS"/>
    <x v="50"/>
    <x v="0"/>
    <n v="53784.78125"/>
    <x v="0"/>
    <n v="50627876"/>
    <m/>
    <n v="83132800"/>
    <n v="47.83"/>
    <m/>
    <m/>
    <n v="31.71"/>
    <n v="18.23"/>
    <n v="609"/>
    <n v="52.17"/>
    <x v="2"/>
  </r>
  <r>
    <s v="DJI"/>
    <s v="MEA"/>
    <x v="51"/>
    <x v="2"/>
    <n v="6596.7753910000001"/>
    <x v="2"/>
    <n v="114997.249"/>
    <m/>
    <n v="746221"/>
    <m/>
    <m/>
    <m/>
    <m/>
    <m/>
    <n v="154.11000000000001"/>
    <n v="100"/>
    <x v="0"/>
  </r>
  <r>
    <s v="DMA"/>
    <s v="LCN"/>
    <x v="52"/>
    <x v="3"/>
    <n v="11708.639649999999"/>
    <x v="3"/>
    <n v="13176"/>
    <n v="94"/>
    <n v="72400"/>
    <m/>
    <n v="94"/>
    <m/>
    <m/>
    <m/>
    <n v="181.99"/>
    <n v="100"/>
    <x v="0"/>
  </r>
  <r>
    <s v="DNK"/>
    <s v="ECS"/>
    <x v="53"/>
    <x v="0"/>
    <n v="57821.199220000002"/>
    <x v="0"/>
    <n v="4910858.5"/>
    <m/>
    <n v="5818553"/>
    <n v="27.27"/>
    <m/>
    <m/>
    <n v="52.59"/>
    <n v="18.989999999999998"/>
    <n v="844"/>
    <n v="72.73"/>
    <x v="1"/>
  </r>
  <r>
    <s v="DOM"/>
    <s v="LCN"/>
    <x v="54"/>
    <x v="3"/>
    <n v="15328.35254"/>
    <x v="3"/>
    <n v="4063910"/>
    <m/>
    <n v="10528394"/>
    <n v="8.1999999999999993"/>
    <m/>
    <n v="72.575831399999998"/>
    <m/>
    <m/>
    <n v="386"/>
    <n v="91.8"/>
    <x v="0"/>
  </r>
  <r>
    <s v="DZA"/>
    <s v="MEA"/>
    <x v="55"/>
    <x v="3"/>
    <n v="11826.16504"/>
    <x v="3"/>
    <n v="12378740"/>
    <m/>
    <n v="40606052"/>
    <n v="8"/>
    <n v="2"/>
    <m/>
    <m/>
    <n v="1"/>
    <n v="304.85000000000002"/>
    <n v="92"/>
    <x v="0"/>
  </r>
  <r>
    <s v="ECU"/>
    <s v="LCN"/>
    <x v="56"/>
    <x v="3"/>
    <n v="11896.37695"/>
    <x v="3"/>
    <n v="5297211.1430000002"/>
    <m/>
    <n v="16144368"/>
    <n v="12.9"/>
    <m/>
    <n v="22.28"/>
    <m/>
    <m/>
    <n v="328.12"/>
    <n v="87.1"/>
    <x v="0"/>
  </r>
  <r>
    <s v="EGY"/>
    <s v="MEA"/>
    <x v="57"/>
    <x v="2"/>
    <n v="10301.10742"/>
    <x v="2"/>
    <n v="21000000"/>
    <m/>
    <n v="87813256"/>
    <n v="12.5"/>
    <m/>
    <n v="84"/>
    <m/>
    <n v="7"/>
    <n v="239.14"/>
    <n v="87.5"/>
    <x v="0"/>
  </r>
  <r>
    <s v="ERI"/>
    <s v="SSF"/>
    <x v="58"/>
    <x v="1"/>
    <n v="1714.5523679999999"/>
    <x v="1"/>
    <n v="726957.37"/>
    <m/>
    <n v="4474690"/>
    <m/>
    <m/>
    <m/>
    <m/>
    <m/>
    <n v="162.46"/>
    <n v="100"/>
    <x v="0"/>
  </r>
  <r>
    <s v="ESP"/>
    <s v="ECS"/>
    <x v="59"/>
    <x v="0"/>
    <n v="40985.558590000001"/>
    <x v="0"/>
    <n v="22408548"/>
    <m/>
    <n v="47076780"/>
    <n v="16.84"/>
    <m/>
    <m/>
    <n v="11.62"/>
    <n v="16.45"/>
    <n v="476"/>
    <n v="83.16"/>
    <x v="0"/>
  </r>
  <r>
    <s v="EST"/>
    <s v="ECS"/>
    <x v="60"/>
    <x v="0"/>
    <n v="36956.285159999999"/>
    <x v="0"/>
    <n v="489511.71879999997"/>
    <m/>
    <n v="1326590"/>
    <n v="24.74"/>
    <n v="7.4"/>
    <m/>
    <n v="51.37"/>
    <n v="3.6"/>
    <n v="369"/>
    <n v="75.260000000000005"/>
    <x v="1"/>
  </r>
  <r>
    <s v="ETH"/>
    <s v="SSF"/>
    <x v="61"/>
    <x v="1"/>
    <n v="1779.0839840000001"/>
    <x v="1"/>
    <n v="6532786.9699999997"/>
    <m/>
    <n v="99873032"/>
    <m/>
    <m/>
    <n v="43"/>
    <m/>
    <m/>
    <n v="65.41"/>
    <n v="100"/>
    <x v="0"/>
  </r>
  <r>
    <s v="FIN"/>
    <s v="ECS"/>
    <x v="62"/>
    <x v="0"/>
    <n v="48814.308590000001"/>
    <x v="0"/>
    <n v="3124497.75"/>
    <m/>
    <n v="5520314"/>
    <n v="28.12"/>
    <m/>
    <m/>
    <n v="47.92"/>
    <n v="12.45"/>
    <n v="566"/>
    <n v="71.88"/>
    <x v="1"/>
  </r>
  <r>
    <s v="FJI"/>
    <s v="EAS"/>
    <x v="63"/>
    <x v="3"/>
    <n v="10787.68555"/>
    <x v="3"/>
    <n v="189389.59400000001"/>
    <m/>
    <n v="867086"/>
    <n v="5.45"/>
    <m/>
    <m/>
    <m/>
    <m/>
    <n v="218.42"/>
    <n v="94.55"/>
    <x v="0"/>
  </r>
  <r>
    <s v="FRA"/>
    <s v="ECS"/>
    <x v="64"/>
    <x v="0"/>
    <n v="46110.183590000001"/>
    <x v="0"/>
    <n v="36748820"/>
    <m/>
    <n v="67059888"/>
    <n v="22.26"/>
    <m/>
    <m/>
    <n v="34.700000000000003"/>
    <n v="17.260000000000002"/>
    <n v="548"/>
    <n v="77.739999999999995"/>
    <x v="1"/>
  </r>
  <r>
    <s v="FRO"/>
    <s v="ECS"/>
    <x v="65"/>
    <x v="0"/>
    <n v="44402.878909999999"/>
    <x v="0"/>
    <n v="61000"/>
    <m/>
    <n v="48842"/>
    <n v="67"/>
    <m/>
    <m/>
    <m/>
    <m/>
    <n v="1248.93"/>
    <n v="33"/>
    <x v="2"/>
  </r>
  <r>
    <s v="FSM"/>
    <s v="EAS"/>
    <x v="66"/>
    <x v="2"/>
    <n v="3440.0642090000001"/>
    <x v="2"/>
    <n v="26039.57"/>
    <n v="8"/>
    <n v="104937"/>
    <m/>
    <m/>
    <m/>
    <m/>
    <m/>
    <n v="248.14"/>
    <n v="100"/>
    <x v="0"/>
  </r>
  <r>
    <s v="GAB"/>
    <s v="SSF"/>
    <x v="67"/>
    <x v="3"/>
    <n v="18514.652340000001"/>
    <x v="3"/>
    <n v="238102.31"/>
    <n v="23.6"/>
    <n v="1086137"/>
    <m/>
    <m/>
    <m/>
    <m/>
    <m/>
    <n v="219.22"/>
    <n v="100"/>
    <x v="0"/>
  </r>
  <r>
    <s v="GBR"/>
    <s v="ECS"/>
    <x v="68"/>
    <x v="0"/>
    <n v="46290.121090000001"/>
    <x v="0"/>
    <n v="30771140"/>
    <m/>
    <n v="66460344"/>
    <n v="27.25"/>
    <m/>
    <m/>
    <n v="31.38"/>
    <n v="16.23"/>
    <n v="463"/>
    <n v="72.75"/>
    <x v="1"/>
  </r>
  <r>
    <s v="GEO"/>
    <s v="ECS"/>
    <x v="69"/>
    <x v="2"/>
    <n v="12605.139649999999"/>
    <x v="2"/>
    <n v="800000"/>
    <n v="60"/>
    <n v="3717100"/>
    <m/>
    <m/>
    <m/>
    <m/>
    <m/>
    <n v="215.22"/>
    <n v="100"/>
    <x v="0"/>
  </r>
  <r>
    <s v="GHA"/>
    <s v="SSF"/>
    <x v="70"/>
    <x v="2"/>
    <n v="3092.5969239999999"/>
    <x v="2"/>
    <n v="3538274.9780000001"/>
    <m/>
    <n v="21542008"/>
    <m/>
    <m/>
    <m/>
    <m/>
    <m/>
    <n v="164.25"/>
    <n v="100"/>
    <x v="0"/>
  </r>
  <r>
    <s v="GIB"/>
    <s v="ECS"/>
    <x v="71"/>
    <x v="0"/>
    <n v="43711.800779999998"/>
    <x v="0"/>
    <n v="16954"/>
    <m/>
    <n v="33623"/>
    <m/>
    <m/>
    <m/>
    <m/>
    <m/>
    <n v="504.24"/>
    <n v="100"/>
    <x v="0"/>
  </r>
  <r>
    <s v="GIN"/>
    <s v="SSF"/>
    <x v="72"/>
    <x v="1"/>
    <n v="1622.7768550000001"/>
    <x v="1"/>
    <n v="596911"/>
    <m/>
    <n v="8132552"/>
    <n v="5"/>
    <m/>
    <m/>
    <m/>
    <m/>
    <n v="73.400000000000006"/>
    <n v="95"/>
    <x v="0"/>
  </r>
  <r>
    <s v="GMB"/>
    <s v="SSF"/>
    <x v="73"/>
    <x v="1"/>
    <n v="2180.8557129999999"/>
    <x v="1"/>
    <n v="193440.54"/>
    <m/>
    <n v="1311349"/>
    <m/>
    <m/>
    <m/>
    <m/>
    <m/>
    <n v="147.51"/>
    <n v="100"/>
    <x v="0"/>
  </r>
  <r>
    <s v="GNB"/>
    <s v="SSF"/>
    <x v="74"/>
    <x v="1"/>
    <n v="1800.0686040000001"/>
    <x v="1"/>
    <n v="289514"/>
    <m/>
    <n v="1770526"/>
    <m/>
    <m/>
    <m/>
    <m/>
    <m/>
    <n v="163.52000000000001"/>
    <n v="100"/>
    <x v="0"/>
  </r>
  <r>
    <s v="GNQ"/>
    <s v="SSF"/>
    <x v="75"/>
    <x v="3"/>
    <n v="24827.072270000001"/>
    <x v="3"/>
    <n v="198443.06"/>
    <m/>
    <n v="1221490"/>
    <m/>
    <m/>
    <m/>
    <m/>
    <m/>
    <n v="162.46"/>
    <n v="100"/>
    <x v="0"/>
  </r>
  <r>
    <s v="GRC"/>
    <s v="ECS"/>
    <x v="76"/>
    <x v="0"/>
    <n v="30465.449219999999"/>
    <x v="0"/>
    <n v="5615352.5"/>
    <m/>
    <n v="10716322"/>
    <n v="19"/>
    <m/>
    <m/>
    <m/>
    <m/>
    <n v="524"/>
    <n v="81"/>
    <x v="0"/>
  </r>
  <r>
    <s v="GRD"/>
    <s v="LCN"/>
    <x v="77"/>
    <x v="3"/>
    <n v="13207.71191"/>
    <x v="3"/>
    <n v="29536.113939999999"/>
    <m/>
    <n v="105481"/>
    <m/>
    <n v="98.3"/>
    <m/>
    <m/>
    <n v="0.2"/>
    <n v="280.01"/>
    <n v="100"/>
    <x v="0"/>
  </r>
  <r>
    <s v="GRL"/>
    <s v="ECS"/>
    <x v="78"/>
    <x v="0"/>
    <n v="43948.5625"/>
    <x v="0"/>
    <n v="50000"/>
    <m/>
    <n v="56905"/>
    <m/>
    <m/>
    <m/>
    <n v="40"/>
    <m/>
    <n v="878.66"/>
    <n v="100"/>
    <x v="0"/>
  </r>
  <r>
    <s v="GTM"/>
    <s v="LCN"/>
    <x v="79"/>
    <x v="3"/>
    <n v="8125.3647460000002"/>
    <x v="3"/>
    <n v="2756740.9709999999"/>
    <n v="77.7"/>
    <n v="16252429"/>
    <m/>
    <n v="9.6"/>
    <n v="69.8"/>
    <m/>
    <m/>
    <n v="169.62"/>
    <n v="100"/>
    <x v="0"/>
  </r>
  <r>
    <s v="GUM"/>
    <s v="EAS"/>
    <x v="80"/>
    <x v="0"/>
    <n v="59074.941409999999"/>
    <x v="0"/>
    <n v="141500"/>
    <n v="100"/>
    <n v="159973"/>
    <n v="17.850000000000001"/>
    <m/>
    <m/>
    <m/>
    <m/>
    <n v="884.52"/>
    <n v="82.15"/>
    <x v="0"/>
  </r>
  <r>
    <s v="GUY"/>
    <s v="LCN"/>
    <x v="81"/>
    <x v="3"/>
    <n v="9812.0898440000001"/>
    <x v="3"/>
    <n v="179251.5"/>
    <n v="89"/>
    <n v="746556"/>
    <n v="0.54"/>
    <m/>
    <m/>
    <m/>
    <m/>
    <n v="240.1"/>
    <n v="99.46"/>
    <x v="0"/>
  </r>
  <r>
    <s v="HKG"/>
    <s v="EAS"/>
    <x v="82"/>
    <x v="0"/>
    <n v="57215.96875"/>
    <x v="0"/>
    <n v="5679816.4649999999"/>
    <n v="100"/>
    <n v="7305700"/>
    <n v="34"/>
    <m/>
    <m/>
    <m/>
    <m/>
    <n v="777.45"/>
    <n v="66"/>
    <x v="1"/>
  </r>
  <r>
    <s v="HND"/>
    <s v="LCN"/>
    <x v="83"/>
    <x v="2"/>
    <n v="5395.6137699999999"/>
    <x v="2"/>
    <n v="2162027.696"/>
    <n v="64.599999999999994"/>
    <n v="9112867"/>
    <m/>
    <n v="59.9"/>
    <n v="15"/>
    <m/>
    <m/>
    <n v="237.25"/>
    <n v="100"/>
    <x v="0"/>
  </r>
  <r>
    <s v="HRV"/>
    <s v="ECS"/>
    <x v="84"/>
    <x v="0"/>
    <n v="28829.355469999999"/>
    <x v="0"/>
    <n v="1810037.5"/>
    <m/>
    <n v="4067500"/>
    <n v="16.32"/>
    <m/>
    <m/>
    <m/>
    <n v="1.69"/>
    <n v="445"/>
    <n v="83.68"/>
    <x v="0"/>
  </r>
  <r>
    <s v="HTI"/>
    <s v="LCN"/>
    <x v="85"/>
    <x v="1"/>
    <n v="2952.6186520000001"/>
    <x v="1"/>
    <n v="2309852.4550000001"/>
    <m/>
    <n v="10847334"/>
    <m/>
    <n v="9.94"/>
    <m/>
    <m/>
    <m/>
    <n v="212.94"/>
    <n v="100"/>
    <x v="0"/>
  </r>
  <r>
    <s v="HUN"/>
    <s v="ECS"/>
    <x v="86"/>
    <x v="0"/>
    <n v="32643.490229999999"/>
    <x v="0"/>
    <n v="3780970.25"/>
    <m/>
    <n v="9769949"/>
    <n v="25.94"/>
    <m/>
    <m/>
    <n v="14.14"/>
    <n v="6.22"/>
    <n v="387"/>
    <n v="74.06"/>
    <x v="1"/>
  </r>
  <r>
    <s v="IDN"/>
    <s v="EAS"/>
    <x v="87"/>
    <x v="2"/>
    <n v="10531.19824"/>
    <x v="2"/>
    <n v="65200000"/>
    <n v="45"/>
    <n v="261115456"/>
    <n v="7"/>
    <m/>
    <n v="10"/>
    <m/>
    <m/>
    <n v="249.7"/>
    <n v="93"/>
    <x v="0"/>
  </r>
  <r>
    <s v="IMN"/>
    <s v="ECS"/>
    <x v="88"/>
    <x v="0"/>
    <n v="44203.621090000001"/>
    <x v="0"/>
    <n v="50551"/>
    <m/>
    <n v="80759"/>
    <n v="50"/>
    <m/>
    <m/>
    <n v="25"/>
    <m/>
    <n v="625.95000000000005"/>
    <n v="50"/>
    <x v="2"/>
  </r>
  <r>
    <s v="IND"/>
    <s v="SAS"/>
    <x v="89"/>
    <x v="2"/>
    <n v="6496.8076170000004"/>
    <x v="2"/>
    <n v="189750000"/>
    <m/>
    <n v="1352617344"/>
    <n v="5"/>
    <m/>
    <n v="77"/>
    <m/>
    <n v="18"/>
    <n v="140.28"/>
    <n v="95"/>
    <x v="0"/>
  </r>
  <r>
    <s v="IRL"/>
    <s v="ECS"/>
    <x v="90"/>
    <x v="0"/>
    <n v="83388.71875"/>
    <x v="0"/>
    <n v="2910655"/>
    <m/>
    <n v="4867316"/>
    <n v="33"/>
    <n v="41"/>
    <m/>
    <n v="17"/>
    <n v="6"/>
    <n v="598"/>
    <n v="67"/>
    <x v="1"/>
  </r>
  <r>
    <s v="IRN"/>
    <s v="MEA"/>
    <x v="91"/>
    <x v="3"/>
    <n v="14535.862300000001"/>
    <x v="3"/>
    <n v="17885000"/>
    <n v="100"/>
    <n v="80277424"/>
    <n v="5"/>
    <n v="10"/>
    <n v="72"/>
    <n v="0.4"/>
    <n v="12"/>
    <n v="222.79"/>
    <n v="95"/>
    <x v="0"/>
  </r>
  <r>
    <s v="IRQ"/>
    <s v="MEA"/>
    <x v="92"/>
    <x v="3"/>
    <n v="10310.679690000001"/>
    <x v="3"/>
    <n v="13140000"/>
    <n v="76"/>
    <n v="36115648"/>
    <m/>
    <m/>
    <n v="100"/>
    <m/>
    <m/>
    <n v="363.83"/>
    <n v="100"/>
    <x v="0"/>
  </r>
  <r>
    <s v="ISL"/>
    <s v="ECS"/>
    <x v="93"/>
    <x v="0"/>
    <n v="55274.1875"/>
    <x v="0"/>
    <n v="225270.4063"/>
    <n v="100"/>
    <n v="343400"/>
    <n v="55.81"/>
    <m/>
    <m/>
    <n v="1.9"/>
    <n v="2.86"/>
    <n v="656"/>
    <n v="44.19"/>
    <x v="2"/>
  </r>
  <r>
    <s v="ISR"/>
    <s v="MEA"/>
    <x v="94"/>
    <x v="0"/>
    <n v="37687.746090000001"/>
    <x v="0"/>
    <n v="5400000"/>
    <m/>
    <n v="8380100"/>
    <n v="25"/>
    <m/>
    <m/>
    <m/>
    <m/>
    <n v="644.38"/>
    <n v="75"/>
    <x v="1"/>
  </r>
  <r>
    <s v="ITA"/>
    <s v="ECS"/>
    <x v="95"/>
    <x v="0"/>
    <n v="42419.722659999999"/>
    <x v="0"/>
    <n v="30088400"/>
    <m/>
    <n v="60297396"/>
    <n v="25.9"/>
    <m/>
    <m/>
    <n v="19"/>
    <n v="17.600000000000001"/>
    <n v="499"/>
    <n v="74.099999999999994"/>
    <x v="1"/>
  </r>
  <r>
    <s v="JAM"/>
    <s v="LCN"/>
    <x v="96"/>
    <x v="3"/>
    <n v="9550.8105469999991"/>
    <x v="3"/>
    <n v="1051694.575"/>
    <n v="76"/>
    <n v="2881355"/>
    <m/>
    <n v="64"/>
    <m/>
    <m/>
    <m/>
    <n v="365"/>
    <n v="100"/>
    <x v="0"/>
  </r>
  <r>
    <s v="JOR"/>
    <s v="MEA"/>
    <x v="97"/>
    <x v="3"/>
    <n v="10413.17578"/>
    <x v="3"/>
    <n v="2529997"/>
    <m/>
    <n v="8413464"/>
    <n v="7"/>
    <m/>
    <n v="45"/>
    <m/>
    <m/>
    <n v="300.70999999999998"/>
    <n v="93"/>
    <x v="0"/>
  </r>
  <r>
    <s v="JPN"/>
    <s v="EAS"/>
    <x v="98"/>
    <x v="0"/>
    <n v="41309.957029999998"/>
    <x v="0"/>
    <n v="42720000"/>
    <n v="99.9"/>
    <n v="126529104"/>
    <n v="4.9000000000000004"/>
    <n v="1.1000000000000001"/>
    <m/>
    <n v="80.2"/>
    <n v="0.4"/>
    <n v="337.63"/>
    <n v="95.1"/>
    <x v="0"/>
  </r>
  <r>
    <s v="KAZ"/>
    <s v="ECS"/>
    <x v="99"/>
    <x v="3"/>
    <n v="22702.58008"/>
    <x v="3"/>
    <n v="4659740"/>
    <n v="77"/>
    <n v="16791424"/>
    <n v="2.92"/>
    <m/>
    <n v="60.1"/>
    <m/>
    <m/>
    <n v="277.51"/>
    <n v="97.08"/>
    <x v="0"/>
  </r>
  <r>
    <s v="KEN"/>
    <s v="SSF"/>
    <x v="100"/>
    <x v="2"/>
    <n v="3329.8544919999999"/>
    <x v="2"/>
    <n v="5595099"/>
    <n v="40"/>
    <n v="41350152"/>
    <n v="8"/>
    <m/>
    <m/>
    <m/>
    <m/>
    <n v="135.31"/>
    <n v="92"/>
    <x v="0"/>
  </r>
  <r>
    <s v="KGZ"/>
    <s v="ECS"/>
    <x v="101"/>
    <x v="2"/>
    <n v="4805.1411129999997"/>
    <x v="2"/>
    <n v="1113300"/>
    <m/>
    <n v="5956900"/>
    <m/>
    <m/>
    <n v="100"/>
    <m/>
    <m/>
    <n v="186.89"/>
    <n v="100"/>
    <x v="0"/>
  </r>
  <r>
    <s v="KHM"/>
    <s v="EAS"/>
    <x v="102"/>
    <x v="2"/>
    <n v="3364.2788089999999"/>
    <x v="2"/>
    <n v="1089000"/>
    <m/>
    <n v="15270790"/>
    <m/>
    <m/>
    <m/>
    <m/>
    <m/>
    <n v="71.31"/>
    <n v="100"/>
    <x v="0"/>
  </r>
  <r>
    <s v="KIR"/>
    <s v="EAS"/>
    <x v="103"/>
    <x v="2"/>
    <n v="2249.7685550000001"/>
    <x v="2"/>
    <n v="35723.827499999999"/>
    <n v="54"/>
    <n v="114395"/>
    <m/>
    <m/>
    <m/>
    <m/>
    <m/>
    <n v="312.27999999999997"/>
    <n v="100"/>
    <x v="0"/>
  </r>
  <r>
    <s v="KNA"/>
    <s v="LCN"/>
    <x v="104"/>
    <x v="0"/>
    <n v="25569.35742"/>
    <x v="0"/>
    <n v="32892.14"/>
    <n v="95"/>
    <n v="54288"/>
    <m/>
    <n v="100"/>
    <m/>
    <m/>
    <m/>
    <n v="605.88"/>
    <n v="100"/>
    <x v="0"/>
  </r>
  <r>
    <s v="KOR"/>
    <s v="EAS"/>
    <x v="105"/>
    <x v="0"/>
    <n v="42105.28125"/>
    <x v="0"/>
    <n v="20452776"/>
    <n v="99.92"/>
    <n v="51606632"/>
    <n v="58"/>
    <m/>
    <m/>
    <n v="25"/>
    <n v="1"/>
    <n v="396.32"/>
    <n v="42"/>
    <x v="2"/>
  </r>
  <r>
    <s v="KWT"/>
    <s v="MEA"/>
    <x v="106"/>
    <x v="0"/>
    <n v="58810.300779999998"/>
    <x v="0"/>
    <n v="1750000"/>
    <n v="100"/>
    <n v="2998083"/>
    <m/>
    <m/>
    <n v="100"/>
    <m/>
    <m/>
    <n v="583.71"/>
    <n v="100"/>
    <x v="0"/>
  </r>
  <r>
    <s v="LAO"/>
    <s v="EAS"/>
    <x v="107"/>
    <x v="2"/>
    <n v="6543.6669920000004"/>
    <x v="2"/>
    <n v="351900"/>
    <m/>
    <n v="6663967"/>
    <n v="10"/>
    <n v="30"/>
    <n v="60"/>
    <m/>
    <m/>
    <n v="52.81"/>
    <n v="90"/>
    <x v="0"/>
  </r>
  <r>
    <s v="LBN"/>
    <s v="MEA"/>
    <x v="108"/>
    <x v="3"/>
    <n v="16966.740229999999"/>
    <x v="3"/>
    <n v="2040000"/>
    <m/>
    <n v="5603279"/>
    <n v="8"/>
    <n v="48"/>
    <n v="29"/>
    <m/>
    <n v="15"/>
    <n v="364.07"/>
    <n v="92"/>
    <x v="0"/>
  </r>
  <r>
    <s v="LBR"/>
    <s v="SSF"/>
    <x v="109"/>
    <x v="1"/>
    <n v="1333.422241"/>
    <x v="1"/>
    <n v="564466.69999999995"/>
    <m/>
    <n v="3512932"/>
    <m/>
    <m/>
    <m/>
    <m/>
    <m/>
    <n v="160.68"/>
    <n v="100"/>
    <x v="0"/>
  </r>
  <r>
    <s v="LBY"/>
    <s v="MEA"/>
    <x v="110"/>
    <x v="3"/>
    <n v="8479.9462889999995"/>
    <x v="3"/>
    <n v="2147596.4720000001"/>
    <m/>
    <n v="6193501"/>
    <m/>
    <m/>
    <m/>
    <m/>
    <m/>
    <n v="346.75"/>
    <n v="100"/>
    <x v="0"/>
  </r>
  <r>
    <s v="LCA"/>
    <s v="LCN"/>
    <x v="111"/>
    <x v="3"/>
    <n v="14029.98242"/>
    <x v="3"/>
    <n v="77616.228000000003"/>
    <n v="100"/>
    <n v="177206"/>
    <m/>
    <n v="96.8"/>
    <m/>
    <m/>
    <n v="0.1"/>
    <n v="438"/>
    <n v="100"/>
    <x v="0"/>
  </r>
  <r>
    <s v="LIE"/>
    <s v="ECS"/>
    <x v="112"/>
    <x v="0"/>
    <n v="45726.988279999998"/>
    <x v="0"/>
    <n v="32382"/>
    <n v="100"/>
    <n v="36545"/>
    <n v="64.599999999999994"/>
    <m/>
    <m/>
    <m/>
    <m/>
    <n v="886.09"/>
    <n v="35.400000000000006"/>
    <x v="2"/>
  </r>
  <r>
    <s v="LKA"/>
    <s v="SAS"/>
    <x v="113"/>
    <x v="2"/>
    <n v="12287.472659999999"/>
    <x v="2"/>
    <n v="2631650"/>
    <m/>
    <n v="21203000"/>
    <n v="12.79"/>
    <m/>
    <n v="85"/>
    <m/>
    <n v="5"/>
    <n v="124.12"/>
    <n v="87.210000000000008"/>
    <x v="0"/>
  </r>
  <r>
    <s v="LSO"/>
    <s v="SSF"/>
    <x v="114"/>
    <x v="2"/>
    <n v="1978.6083980000001"/>
    <x v="2"/>
    <n v="73457"/>
    <n v="20"/>
    <n v="1965662"/>
    <m/>
    <m/>
    <m/>
    <m/>
    <m/>
    <n v="37.369999999999997"/>
    <n v="100"/>
    <x v="0"/>
  </r>
  <r>
    <s v="LTU"/>
    <s v="ECS"/>
    <x v="115"/>
    <x v="0"/>
    <n v="37278.304689999997"/>
    <x v="0"/>
    <n v="1315390.375"/>
    <m/>
    <n v="2786844"/>
    <n v="22.92"/>
    <m/>
    <m/>
    <n v="11.54"/>
    <n v="10.15"/>
    <n v="472"/>
    <n v="77.08"/>
    <x v="1"/>
  </r>
  <r>
    <s v="LUX"/>
    <s v="ECS"/>
    <x v="116"/>
    <x v="0"/>
    <n v="114323.4063"/>
    <x v="0"/>
    <n v="490337.75"/>
    <m/>
    <n v="619896"/>
    <n v="28.37"/>
    <m/>
    <m/>
    <n v="33.99"/>
    <n v="19.66"/>
    <n v="791"/>
    <n v="71.63"/>
    <x v="1"/>
  </r>
  <r>
    <s v="LVA"/>
    <s v="ECS"/>
    <x v="117"/>
    <x v="0"/>
    <n v="30982.17383"/>
    <x v="0"/>
    <n v="839714.375"/>
    <m/>
    <n v="1912789"/>
    <n v="21.23"/>
    <m/>
    <m/>
    <m/>
    <n v="5.48"/>
    <n v="439"/>
    <n v="78.77"/>
    <x v="1"/>
  </r>
  <r>
    <s v="MAC"/>
    <s v="EAS"/>
    <x v="118"/>
    <x v="0"/>
    <n v="117335.58590000001"/>
    <x v="0"/>
    <n v="377942"/>
    <n v="100"/>
    <n v="612167"/>
    <n v="20"/>
    <m/>
    <m/>
    <m/>
    <m/>
    <n v="617.38"/>
    <n v="80"/>
    <x v="1"/>
  </r>
  <r>
    <s v="MAF"/>
    <s v="LCN"/>
    <x v="119"/>
    <x v="0"/>
    <n v="30385.894530000001"/>
    <x v="0"/>
    <n v="15479.5"/>
    <m/>
    <n v="30959"/>
    <m/>
    <m/>
    <m/>
    <m/>
    <m/>
    <n v="500"/>
    <n v="100"/>
    <x v="0"/>
  </r>
  <r>
    <s v="MAR"/>
    <s v="MEA"/>
    <x v="120"/>
    <x v="2"/>
    <n v="6915.1030270000001"/>
    <x v="2"/>
    <n v="6852000"/>
    <m/>
    <n v="34318080"/>
    <n v="8"/>
    <m/>
    <n v="52"/>
    <m/>
    <n v="1"/>
    <n v="199.66"/>
    <n v="92"/>
    <x v="0"/>
  </r>
  <r>
    <s v="MCO"/>
    <s v="ECS"/>
    <x v="121"/>
    <x v="0"/>
    <n v="43711.800779999998"/>
    <x v="0"/>
    <n v="46000"/>
    <n v="100"/>
    <n v="37783"/>
    <n v="5.4"/>
    <m/>
    <m/>
    <n v="85"/>
    <m/>
    <n v="1217.48"/>
    <n v="94.6"/>
    <x v="0"/>
  </r>
  <r>
    <s v="MDA"/>
    <s v="ECS"/>
    <x v="122"/>
    <x v="2"/>
    <n v="10360.83008"/>
    <x v="2"/>
    <n v="3981200"/>
    <m/>
    <n v="3554108"/>
    <n v="15.32"/>
    <m/>
    <n v="35.08"/>
    <m/>
    <m/>
    <n v="1120.17"/>
    <n v="84.68"/>
    <x v="0"/>
  </r>
  <r>
    <s v="MDG"/>
    <s v="SSF"/>
    <x v="123"/>
    <x v="1"/>
    <n v="1565.866943"/>
    <x v="1"/>
    <n v="3768759.16"/>
    <n v="17.7"/>
    <n v="24894552"/>
    <m/>
    <m/>
    <n v="96.7"/>
    <m/>
    <n v="3.5"/>
    <n v="151.38999999999999"/>
    <n v="100"/>
    <x v="0"/>
  </r>
  <r>
    <s v="MDV"/>
    <s v="SAS"/>
    <x v="124"/>
    <x v="3"/>
    <n v="17284.609380000002"/>
    <x v="3"/>
    <n v="211505.78"/>
    <n v="38.200000000000003"/>
    <n v="409163"/>
    <m/>
    <m/>
    <m/>
    <n v="6"/>
    <n v="7"/>
    <n v="516.91999999999996"/>
    <n v="100"/>
    <x v="0"/>
  </r>
  <r>
    <s v="MEX"/>
    <s v="LCN"/>
    <x v="125"/>
    <x v="3"/>
    <n v="19332.074219999999"/>
    <x v="3"/>
    <n v="53100000"/>
    <m/>
    <n v="125890952"/>
    <n v="5"/>
    <m/>
    <n v="21"/>
    <m/>
    <m/>
    <n v="421.79"/>
    <n v="95"/>
    <x v="0"/>
  </r>
  <r>
    <s v="MHL"/>
    <s v="EAS"/>
    <x v="126"/>
    <x v="3"/>
    <n v="3628.8952640000002"/>
    <x v="3"/>
    <n v="8614"/>
    <n v="49"/>
    <n v="52793"/>
    <n v="30.8"/>
    <m/>
    <m/>
    <m/>
    <n v="6"/>
    <n v="163.16999999999999"/>
    <n v="69.2"/>
    <x v="1"/>
  </r>
  <r>
    <s v="MKD"/>
    <s v="ECS"/>
    <x v="127"/>
    <x v="3"/>
    <n v="16147.72949"/>
    <x v="3"/>
    <n v="626970.375"/>
    <n v="73"/>
    <n v="2082958"/>
    <n v="0.18"/>
    <m/>
    <m/>
    <m/>
    <n v="0.1"/>
    <n v="301"/>
    <n v="99.82"/>
    <x v="0"/>
  </r>
  <r>
    <s v="MLI"/>
    <s v="SSF"/>
    <x v="128"/>
    <x v="1"/>
    <n v="2007.80603"/>
    <x v="1"/>
    <n v="1937354.44"/>
    <m/>
    <n v="16006670"/>
    <m/>
    <m/>
    <m/>
    <m/>
    <m/>
    <n v="121.03"/>
    <n v="100"/>
    <x v="0"/>
  </r>
  <r>
    <s v="MLT"/>
    <s v="MEA"/>
    <x v="129"/>
    <x v="0"/>
    <n v="43707.539060000003"/>
    <x v="0"/>
    <n v="348841.1875"/>
    <m/>
    <n v="502653"/>
    <n v="6.69"/>
    <m/>
    <m/>
    <n v="0.37"/>
    <m/>
    <n v="694"/>
    <n v="93.31"/>
    <x v="0"/>
  </r>
  <r>
    <s v="MMR"/>
    <s v="EAS"/>
    <x v="130"/>
    <x v="2"/>
    <n v="1093.788086"/>
    <x v="2"/>
    <n v="4677306.5290000001"/>
    <n v="60"/>
    <n v="46095464"/>
    <m/>
    <m/>
    <m/>
    <m/>
    <m/>
    <n v="101.47"/>
    <n v="100"/>
    <x v="0"/>
  </r>
  <r>
    <s v="MNE"/>
    <s v="ECS"/>
    <x v="131"/>
    <x v="3"/>
    <n v="20752.621090000001"/>
    <x v="3"/>
    <n v="329780.3125"/>
    <n v="75.900000000000006"/>
    <n v="622227"/>
    <n v="5.42"/>
    <m/>
    <n v="91.57"/>
    <m/>
    <m/>
    <n v="530"/>
    <n v="94.58"/>
    <x v="0"/>
  </r>
  <r>
    <s v="MNG"/>
    <s v="EAS"/>
    <x v="132"/>
    <x v="2"/>
    <n v="10940.41504"/>
    <x v="2"/>
    <n v="2900000"/>
    <m/>
    <n v="3027398"/>
    <m/>
    <m/>
    <n v="93.5"/>
    <m/>
    <m/>
    <n v="957.92"/>
    <n v="100"/>
    <x v="0"/>
  </r>
  <r>
    <s v="MNP"/>
    <s v="EAS"/>
    <x v="133"/>
    <x v="0"/>
    <n v="60955.726560000003"/>
    <x v="0"/>
    <n v="32761.414499999999"/>
    <m/>
    <n v="54036"/>
    <n v="36"/>
    <m/>
    <m/>
    <m/>
    <m/>
    <n v="606.29"/>
    <n v="64"/>
    <x v="1"/>
  </r>
  <r>
    <s v="MOZ"/>
    <s v="SSF"/>
    <x v="134"/>
    <x v="1"/>
    <n v="1217.0902100000001"/>
    <x v="1"/>
    <n v="2500000"/>
    <m/>
    <n v="27212382"/>
    <n v="1"/>
    <m/>
    <n v="99"/>
    <m/>
    <m/>
    <n v="91.87"/>
    <n v="99"/>
    <x v="0"/>
  </r>
  <r>
    <s v="MRT"/>
    <s v="SSF"/>
    <x v="135"/>
    <x v="2"/>
    <n v="4783.6357420000004"/>
    <x v="2"/>
    <n v="454000"/>
    <m/>
    <n v="3506288"/>
    <n v="8"/>
    <n v="37.299999999999997"/>
    <n v="54.7"/>
    <m/>
    <m/>
    <n v="129.47999999999999"/>
    <n v="92"/>
    <x v="0"/>
  </r>
  <r>
    <s v="MUS"/>
    <s v="SSF"/>
    <x v="136"/>
    <x v="3"/>
    <n v="20646.933590000001"/>
    <x v="3"/>
    <n v="438000"/>
    <n v="98"/>
    <n v="1263473"/>
    <m/>
    <m/>
    <m/>
    <m/>
    <n v="9"/>
    <n v="346.66"/>
    <n v="100"/>
    <x v="0"/>
  </r>
  <r>
    <s v="MWI"/>
    <s v="SSF"/>
    <x v="137"/>
    <x v="1"/>
    <n v="999.4413452"/>
    <x v="1"/>
    <n v="1297844.48"/>
    <m/>
    <n v="16577147"/>
    <m/>
    <m/>
    <m/>
    <m/>
    <m/>
    <n v="78.290000000000006"/>
    <n v="100"/>
    <x v="0"/>
  </r>
  <r>
    <s v="MYS"/>
    <s v="EAS"/>
    <x v="138"/>
    <x v="3"/>
    <n v="23906.265630000002"/>
    <x v="3"/>
    <n v="12982685"/>
    <m/>
    <n v="30228016"/>
    <n v="17.5"/>
    <m/>
    <m/>
    <m/>
    <n v="1"/>
    <n v="429.49"/>
    <n v="82.5"/>
    <x v="0"/>
  </r>
  <r>
    <s v="NAM"/>
    <s v="SSF"/>
    <x v="139"/>
    <x v="3"/>
    <n v="6152.9873049999997"/>
    <x v="3"/>
    <n v="256729"/>
    <m/>
    <n v="1559983"/>
    <n v="4.5"/>
    <m/>
    <m/>
    <m/>
    <m/>
    <n v="164.57"/>
    <n v="95.5"/>
    <x v="0"/>
  </r>
  <r>
    <s v="NCL"/>
    <s v="EAS"/>
    <x v="140"/>
    <x v="0"/>
    <n v="57330.203130000002"/>
    <x v="0"/>
    <n v="108157.38400000001"/>
    <n v="67"/>
    <n v="278000"/>
    <m/>
    <m/>
    <m/>
    <m/>
    <m/>
    <n v="389.06"/>
    <n v="100"/>
    <x v="0"/>
  </r>
  <r>
    <s v="NER"/>
    <s v="SSF"/>
    <x v="141"/>
    <x v="1"/>
    <n v="1038.224121"/>
    <x v="1"/>
    <n v="1865645.67"/>
    <m/>
    <n v="8842415"/>
    <n v="4"/>
    <m/>
    <n v="64"/>
    <m/>
    <m/>
    <n v="210.99"/>
    <n v="96"/>
    <x v="0"/>
  </r>
  <r>
    <s v="NGA"/>
    <s v="SSF"/>
    <x v="142"/>
    <x v="2"/>
    <n v="4690.3793949999999"/>
    <x v="2"/>
    <n v="27614830.07"/>
    <m/>
    <n v="154402176"/>
    <m/>
    <m/>
    <m/>
    <m/>
    <m/>
    <n v="178.85"/>
    <n v="100"/>
    <x v="0"/>
  </r>
  <r>
    <s v="NIC"/>
    <s v="LCN"/>
    <x v="143"/>
    <x v="2"/>
    <n v="4611.8403319999998"/>
    <x v="2"/>
    <n v="1528816.2930000001"/>
    <n v="92.3"/>
    <n v="5737723"/>
    <m/>
    <m/>
    <n v="59.3"/>
    <m/>
    <m/>
    <n v="266.45"/>
    <n v="100"/>
    <x v="0"/>
  </r>
  <r>
    <s v="NLD"/>
    <s v="ECS"/>
    <x v="144"/>
    <x v="0"/>
    <n v="56849.375"/>
    <x v="0"/>
    <n v="8805088"/>
    <m/>
    <n v="17332850"/>
    <n v="24.61"/>
    <m/>
    <m/>
    <n v="47.369"/>
    <n v="27.1"/>
    <n v="508"/>
    <n v="75.39"/>
    <x v="1"/>
  </r>
  <r>
    <s v="NOR"/>
    <s v="ECS"/>
    <x v="145"/>
    <x v="0"/>
    <n v="64962.261720000002"/>
    <x v="0"/>
    <n v="4149967.25"/>
    <n v="99"/>
    <n v="5347896"/>
    <n v="26.16"/>
    <m/>
    <m/>
    <n v="52.35"/>
    <n v="16.690000000000001"/>
    <n v="776"/>
    <n v="73.84"/>
    <x v="1"/>
  </r>
  <r>
    <s v="NPL"/>
    <s v="SAS"/>
    <x v="146"/>
    <x v="1"/>
    <n v="2902.249268"/>
    <x v="1"/>
    <n v="1768977.49"/>
    <m/>
    <n v="28982772"/>
    <m/>
    <m/>
    <m/>
    <m/>
    <n v="2.87"/>
    <n v="61.04"/>
    <n v="100"/>
    <x v="0"/>
  </r>
  <r>
    <s v="NRU"/>
    <s v="EAS"/>
    <x v="147"/>
    <x v="3"/>
    <n v="11167.31934"/>
    <x v="3"/>
    <n v="6191.7505000000001"/>
    <n v="100"/>
    <n v="13049"/>
    <m/>
    <m/>
    <m/>
    <m/>
    <m/>
    <n v="474.5"/>
    <n v="100"/>
    <x v="0"/>
  </r>
  <r>
    <s v="NZL"/>
    <s v="EAS"/>
    <x v="148"/>
    <x v="0"/>
    <n v="41857.476560000003"/>
    <x v="0"/>
    <n v="3405000"/>
    <n v="97"/>
    <n v="4692700"/>
    <m/>
    <m/>
    <m/>
    <m/>
    <m/>
    <n v="725.6"/>
    <n v="100"/>
    <x v="0"/>
  </r>
  <r>
    <s v="OMN"/>
    <s v="MEA"/>
    <x v="149"/>
    <x v="0"/>
    <n v="30535.833979999999"/>
    <x v="0"/>
    <n v="3307951"/>
    <m/>
    <n v="4933850"/>
    <n v="26.21"/>
    <n v="73"/>
    <n v="0"/>
    <n v="0.69"/>
    <m/>
    <n v="670.46"/>
    <n v="73.789999999999992"/>
    <x v="1"/>
  </r>
  <r>
    <s v="PAK"/>
    <s v="SAS"/>
    <x v="150"/>
    <x v="2"/>
    <n v="4571.4145509999998"/>
    <x v="2"/>
    <n v="30760000"/>
    <m/>
    <n v="193203472"/>
    <n v="8"/>
    <m/>
    <n v="50"/>
    <m/>
    <n v="2"/>
    <n v="159.21"/>
    <n v="92"/>
    <x v="0"/>
  </r>
  <r>
    <s v="PAN"/>
    <s v="LCN"/>
    <x v="151"/>
    <x v="0"/>
    <n v="28436.359380000002"/>
    <x v="0"/>
    <n v="1472262.2150000001"/>
    <n v="84.9"/>
    <n v="3969249"/>
    <m/>
    <n v="16"/>
    <n v="23.4"/>
    <m/>
    <m/>
    <n v="370.92"/>
    <n v="100"/>
    <x v="0"/>
  </r>
  <r>
    <s v="PER"/>
    <s v="LCN"/>
    <x v="152"/>
    <x v="3"/>
    <n v="11877.083979999999"/>
    <x v="3"/>
    <n v="8356711.1299999999"/>
    <n v="82.93"/>
    <n v="30973354"/>
    <n v="4"/>
    <n v="15.58"/>
    <n v="56.39"/>
    <m/>
    <m/>
    <n v="269.8"/>
    <n v="96"/>
    <x v="0"/>
  </r>
  <r>
    <s v="PHL"/>
    <s v="EAS"/>
    <x v="153"/>
    <x v="2"/>
    <n v="7705.0454099999997"/>
    <x v="2"/>
    <n v="14631922.9"/>
    <m/>
    <n v="103320224"/>
    <n v="28"/>
    <m/>
    <m/>
    <m/>
    <m/>
    <n v="141.62"/>
    <n v="72"/>
    <x v="1"/>
  </r>
  <r>
    <s v="PLW"/>
    <s v="EAS"/>
    <x v="154"/>
    <x v="0"/>
    <n v="18275.025389999999"/>
    <x v="0"/>
    <n v="9426.7455000000009"/>
    <n v="77"/>
    <n v="21503"/>
    <m/>
    <m/>
    <m/>
    <m/>
    <m/>
    <n v="438.39"/>
    <n v="100"/>
    <x v="0"/>
  </r>
  <r>
    <s v="PNG"/>
    <s v="EAS"/>
    <x v="155"/>
    <x v="2"/>
    <n v="3912.3811040000001"/>
    <x v="2"/>
    <n v="1000000"/>
    <m/>
    <n v="7755785"/>
    <n v="2"/>
    <n v="62"/>
    <m/>
    <m/>
    <m/>
    <n v="128.94"/>
    <n v="98"/>
    <x v="0"/>
  </r>
  <r>
    <s v="POL"/>
    <s v="ECS"/>
    <x v="156"/>
    <x v="0"/>
    <n v="33221.542970000002"/>
    <x v="0"/>
    <n v="12758213"/>
    <m/>
    <n v="37970872"/>
    <n v="26.39"/>
    <m/>
    <m/>
    <n v="13.24"/>
    <n v="16.11"/>
    <n v="336"/>
    <n v="73.61"/>
    <x v="1"/>
  </r>
  <r>
    <s v="PRI"/>
    <s v="LCN"/>
    <x v="157"/>
    <x v="0"/>
    <n v="34311.03125"/>
    <x v="0"/>
    <n v="4170953"/>
    <m/>
    <n v="3473181"/>
    <n v="14"/>
    <m/>
    <m/>
    <m/>
    <m/>
    <n v="1200.9000000000001"/>
    <n v="86"/>
    <x v="0"/>
  </r>
  <r>
    <s v="PRT"/>
    <s v="ECS"/>
    <x v="158"/>
    <x v="0"/>
    <n v="34961.945310000003"/>
    <x v="0"/>
    <n v="5268211"/>
    <m/>
    <n v="10269417"/>
    <n v="16.23"/>
    <m/>
    <m/>
    <n v="20.68"/>
    <n v="14.12"/>
    <n v="513"/>
    <n v="83.77"/>
    <x v="0"/>
  </r>
  <r>
    <s v="PRY"/>
    <s v="LCN"/>
    <x v="159"/>
    <x v="3"/>
    <n v="11810.427729999999"/>
    <x v="3"/>
    <n v="1818501.365"/>
    <n v="46.6"/>
    <n v="6639119"/>
    <m/>
    <n v="40.200000000000003"/>
    <n v="23.4"/>
    <m/>
    <m/>
    <n v="273.91000000000003"/>
    <n v="100"/>
    <x v="0"/>
  </r>
  <r>
    <s v="PSE"/>
    <s v="MEA"/>
    <x v="160"/>
    <x v="2"/>
    <n v="5985.6831050000001"/>
    <x v="2"/>
    <n v="1387000"/>
    <n v="91.5"/>
    <n v="4046901"/>
    <n v="0.5"/>
    <n v="33"/>
    <n v="67"/>
    <m/>
    <n v="0.5"/>
    <n v="342.73"/>
    <n v="99.5"/>
    <x v="0"/>
  </r>
  <r>
    <s v="PYF"/>
    <s v="EAS"/>
    <x v="161"/>
    <x v="0"/>
    <n v="60955.726560000003"/>
    <x v="0"/>
    <n v="147000"/>
    <n v="51"/>
    <n v="273528"/>
    <n v="39"/>
    <m/>
    <m/>
    <m/>
    <m/>
    <n v="537.41999999999996"/>
    <n v="61"/>
    <x v="1"/>
  </r>
  <r>
    <s v="QAT"/>
    <s v="MEA"/>
    <x v="162"/>
    <x v="0"/>
    <n v="96261.664059999996"/>
    <x v="0"/>
    <n v="1000990.0159999999"/>
    <n v="100"/>
    <n v="2109568"/>
    <n v="3"/>
    <m/>
    <m/>
    <n v="4"/>
    <m/>
    <n v="474.5"/>
    <n v="97"/>
    <x v="0"/>
  </r>
  <r>
    <s v="ROU"/>
    <s v="ECS"/>
    <x v="163"/>
    <x v="3"/>
    <n v="29983.556639999999"/>
    <x v="3"/>
    <n v="5419832.5"/>
    <m/>
    <n v="19356544"/>
    <n v="5.67"/>
    <m/>
    <m/>
    <n v="2.37"/>
    <n v="7.46"/>
    <n v="280"/>
    <n v="94.33"/>
    <x v="0"/>
  </r>
  <r>
    <s v="RUS"/>
    <s v="ECS"/>
    <x v="164"/>
    <x v="3"/>
    <n v="26012.849610000001"/>
    <x v="3"/>
    <n v="60000000"/>
    <m/>
    <n v="143201680"/>
    <n v="4.5"/>
    <m/>
    <n v="95"/>
    <m/>
    <m/>
    <n v="418.99"/>
    <n v="95.5"/>
    <x v="0"/>
  </r>
  <r>
    <s v="RWA"/>
    <s v="SSF"/>
    <x v="165"/>
    <x v="1"/>
    <n v="1950.5280760000001"/>
    <x v="1"/>
    <n v="4384969"/>
    <m/>
    <n v="11917508"/>
    <m/>
    <m/>
    <m/>
    <m/>
    <m/>
    <n v="367.94"/>
    <n v="100"/>
    <x v="0"/>
  </r>
  <r>
    <s v="SAU"/>
    <s v="MEA"/>
    <x v="166"/>
    <x v="0"/>
    <n v="48921.230470000002"/>
    <x v="0"/>
    <n v="16125700.58"/>
    <n v="100"/>
    <n v="31557144"/>
    <n v="15"/>
    <n v="85"/>
    <m/>
    <m/>
    <m/>
    <n v="511"/>
    <n v="85"/>
    <x v="0"/>
  </r>
  <r>
    <s v="SDN"/>
    <s v="SSF"/>
    <x v="167"/>
    <x v="2"/>
    <n v="4191.8232420000004"/>
    <x v="2"/>
    <n v="2831291"/>
    <m/>
    <n v="38647804"/>
    <m/>
    <m/>
    <m/>
    <m/>
    <m/>
    <n v="73.260000000000005"/>
    <n v="100"/>
    <x v="0"/>
  </r>
  <r>
    <s v="SEN"/>
    <s v="SSF"/>
    <x v="168"/>
    <x v="1"/>
    <n v="3067.6625979999999"/>
    <x v="1"/>
    <n v="2454059.25"/>
    <n v="21.4"/>
    <n v="15411614"/>
    <m/>
    <n v="5.0999999999999996"/>
    <n v="43.8"/>
    <m/>
    <m/>
    <n v="159.22999999999999"/>
    <n v="100"/>
    <x v="0"/>
  </r>
  <r>
    <s v="SGP"/>
    <s v="EAS"/>
    <x v="169"/>
    <x v="0"/>
    <n v="97341.46875"/>
    <x v="0"/>
    <n v="1870000"/>
    <n v="100"/>
    <n v="5703600"/>
    <n v="61"/>
    <m/>
    <m/>
    <n v="37"/>
    <m/>
    <n v="327.86"/>
    <n v="39"/>
    <x v="2"/>
  </r>
  <r>
    <s v="SLB"/>
    <s v="EAS"/>
    <x v="170"/>
    <x v="2"/>
    <n v="2596.4528810000002"/>
    <x v="2"/>
    <n v="179971.9644"/>
    <n v="12"/>
    <n v="563513"/>
    <m/>
    <m/>
    <m/>
    <m/>
    <m/>
    <n v="319.38"/>
    <n v="100"/>
    <x v="0"/>
  </r>
  <r>
    <s v="SLE"/>
    <s v="SSF"/>
    <x v="171"/>
    <x v="1"/>
    <n v="1237.630249"/>
    <x v="1"/>
    <n v="610222.09"/>
    <m/>
    <n v="5439695"/>
    <m/>
    <m/>
    <m/>
    <m/>
    <m/>
    <n v="112.18"/>
    <n v="100"/>
    <x v="0"/>
  </r>
  <r>
    <s v="SLV"/>
    <s v="LCN"/>
    <x v="172"/>
    <x v="2"/>
    <n v="7328.7133789999998"/>
    <x v="2"/>
    <n v="1648996.18"/>
    <n v="78.8"/>
    <n v="6164626"/>
    <m/>
    <m/>
    <n v="13.8"/>
    <m/>
    <m/>
    <n v="267.49"/>
    <n v="100"/>
    <x v="0"/>
  </r>
  <r>
    <s v="SMR"/>
    <s v="ECS"/>
    <x v="173"/>
    <x v="0"/>
    <n v="58806.199220000002"/>
    <x v="0"/>
    <n v="17174.68"/>
    <m/>
    <n v="33203"/>
    <n v="45.05"/>
    <m/>
    <m/>
    <m/>
    <m/>
    <n v="517.26"/>
    <n v="54.95"/>
    <x v="2"/>
  </r>
  <r>
    <s v="SOM"/>
    <s v="SSF"/>
    <x v="174"/>
    <x v="1"/>
    <n v="1862.6141359999999"/>
    <x v="1"/>
    <n v="2326099.17"/>
    <m/>
    <n v="14317996"/>
    <m/>
    <m/>
    <m/>
    <m/>
    <m/>
    <n v="162.46"/>
    <n v="100"/>
    <x v="0"/>
  </r>
  <r>
    <s v="SRB"/>
    <s v="ECS"/>
    <x v="175"/>
    <x v="3"/>
    <n v="18351.273440000001"/>
    <x v="3"/>
    <n v="2347401.5"/>
    <n v="70"/>
    <n v="6944975"/>
    <n v="0.76"/>
    <m/>
    <m/>
    <m/>
    <m/>
    <n v="338"/>
    <n v="99.24"/>
    <x v="0"/>
  </r>
  <r>
    <s v="SSD"/>
    <s v="SSF"/>
    <x v="176"/>
    <x v="1"/>
    <n v="1795.991943"/>
    <x v="1"/>
    <n v="2680681"/>
    <m/>
    <n v="11177490"/>
    <m/>
    <m/>
    <m/>
    <m/>
    <m/>
    <n v="239.83"/>
    <n v="100"/>
    <x v="0"/>
  </r>
  <r>
    <s v="STP"/>
    <s v="SSF"/>
    <x v="177"/>
    <x v="2"/>
    <n v="3720.786865"/>
    <x v="2"/>
    <n v="25586.5"/>
    <n v="48.4"/>
    <n v="191266"/>
    <m/>
    <m/>
    <m/>
    <m/>
    <m/>
    <n v="133.77000000000001"/>
    <n v="100"/>
    <x v="0"/>
  </r>
  <r>
    <s v="SUR"/>
    <s v="LCN"/>
    <x v="178"/>
    <x v="3"/>
    <n v="16953.802729999999"/>
    <x v="3"/>
    <n v="78619.799150000006"/>
    <n v="79.5"/>
    <n v="526103"/>
    <m/>
    <m/>
    <n v="63"/>
    <m/>
    <m/>
    <n v="149.44"/>
    <n v="100"/>
    <x v="0"/>
  </r>
  <r>
    <s v="SVK"/>
    <s v="ECS"/>
    <x v="179"/>
    <x v="0"/>
    <n v="31965.761719999999"/>
    <x v="0"/>
    <n v="2296164.75"/>
    <m/>
    <n v="5454073"/>
    <n v="7.62"/>
    <m/>
    <m/>
    <n v="10.71"/>
    <n v="7.29"/>
    <n v="421"/>
    <n v="92.38"/>
    <x v="0"/>
  </r>
  <r>
    <s v="SVN"/>
    <s v="ECS"/>
    <x v="180"/>
    <x v="0"/>
    <n v="39037.933590000001"/>
    <x v="0"/>
    <n v="1052324.75"/>
    <m/>
    <n v="2087946"/>
    <n v="46.44"/>
    <m/>
    <m/>
    <n v="17.059999999999999"/>
    <n v="7.67"/>
    <n v="504"/>
    <n v="53.56"/>
    <x v="2"/>
  </r>
  <r>
    <s v="SWE"/>
    <s v="ECS"/>
    <x v="181"/>
    <x v="0"/>
    <n v="52608.710939999997"/>
    <x v="0"/>
    <n v="4618168.5"/>
    <m/>
    <n v="10285453"/>
    <n v="32.369999999999997"/>
    <m/>
    <m/>
    <n v="51.2"/>
    <n v="15.63"/>
    <n v="449"/>
    <n v="67.63"/>
    <x v="1"/>
  </r>
  <r>
    <s v="SWZ"/>
    <s v="SSF"/>
    <x v="182"/>
    <x v="2"/>
    <n v="8321.1064449999994"/>
    <x v="2"/>
    <n v="218199.47"/>
    <m/>
    <n v="1343098"/>
    <m/>
    <m/>
    <m/>
    <m/>
    <m/>
    <n v="162.46"/>
    <n v="100"/>
    <x v="0"/>
  </r>
  <r>
    <s v="SXM"/>
    <s v="LCN"/>
    <x v="183"/>
    <x v="0"/>
    <m/>
    <x v="0"/>
    <m/>
    <m/>
    <n v="37685"/>
    <m/>
    <m/>
    <m/>
    <m/>
    <m/>
    <n v="0"/>
    <n v="100"/>
    <x v="0"/>
  </r>
  <r>
    <s v="SYC"/>
    <s v="SSF"/>
    <x v="184"/>
    <x v="0"/>
    <n v="23302.953130000002"/>
    <x v="0"/>
    <n v="48000"/>
    <m/>
    <n v="88303"/>
    <m/>
    <m/>
    <m/>
    <m/>
    <m/>
    <n v="543.58000000000004"/>
    <n v="100"/>
    <x v="0"/>
  </r>
  <r>
    <s v="SYR"/>
    <s v="MEA"/>
    <x v="185"/>
    <x v="1"/>
    <n v="8587.0507809999999"/>
    <x v="1"/>
    <n v="4500000"/>
    <n v="74"/>
    <n v="20824892"/>
    <n v="2.5"/>
    <m/>
    <n v="80"/>
    <m/>
    <n v="1.5"/>
    <n v="216.09"/>
    <n v="97.5"/>
    <x v="0"/>
  </r>
  <r>
    <s v="TCA"/>
    <s v="LCN"/>
    <x v="186"/>
    <x v="0"/>
    <n v="28174.48242"/>
    <x v="0"/>
    <m/>
    <m/>
    <n v="34900"/>
    <m/>
    <m/>
    <m/>
    <m/>
    <m/>
    <n v="0"/>
    <n v="100"/>
    <x v="0"/>
  </r>
  <r>
    <s v="TCD"/>
    <s v="SSF"/>
    <x v="187"/>
    <x v="1"/>
    <n v="1732.691284"/>
    <x v="1"/>
    <n v="1358850.53"/>
    <m/>
    <n v="11887202"/>
    <m/>
    <m/>
    <m/>
    <m/>
    <m/>
    <n v="114.31"/>
    <n v="100"/>
    <x v="0"/>
  </r>
  <r>
    <s v="TGO"/>
    <s v="SSF"/>
    <x v="188"/>
    <x v="1"/>
    <n v="1404.1329350000001"/>
    <x v="1"/>
    <n v="1109030.45"/>
    <m/>
    <n v="7228915"/>
    <n v="2"/>
    <m/>
    <n v="96.2"/>
    <m/>
    <n v="1.8"/>
    <n v="153.41999999999999"/>
    <n v="98"/>
    <x v="0"/>
  </r>
  <r>
    <s v="THA"/>
    <s v="EAS"/>
    <x v="189"/>
    <x v="3"/>
    <n v="16301.53809"/>
    <x v="3"/>
    <n v="26853366"/>
    <m/>
    <n v="68657600"/>
    <n v="19.100000000000001"/>
    <m/>
    <n v="53.5"/>
    <n v="0.4"/>
    <m/>
    <n v="391.12"/>
    <n v="80.900000000000006"/>
    <x v="0"/>
  </r>
  <r>
    <s v="TJK"/>
    <s v="ECS"/>
    <x v="190"/>
    <x v="1"/>
    <n v="2616.475586"/>
    <x v="1"/>
    <n v="1787400"/>
    <n v="38.25"/>
    <n v="8177809"/>
    <m/>
    <m/>
    <n v="100"/>
    <m/>
    <m/>
    <n v="218.57"/>
    <n v="100"/>
    <x v="0"/>
  </r>
  <r>
    <s v="TKM"/>
    <s v="ECS"/>
    <x v="191"/>
    <x v="3"/>
    <n v="11471.186519999999"/>
    <x v="3"/>
    <n v="500000"/>
    <m/>
    <n v="5366277"/>
    <m/>
    <m/>
    <m/>
    <m/>
    <m/>
    <n v="93.17"/>
    <n v="100"/>
    <x v="0"/>
  </r>
  <r>
    <s v="TLS"/>
    <s v="EAS"/>
    <x v="192"/>
    <x v="2"/>
    <n v="3344.5737300000001"/>
    <x v="2"/>
    <n v="63875"/>
    <m/>
    <n v="1268671"/>
    <m/>
    <m/>
    <m/>
    <m/>
    <m/>
    <n v="50.35"/>
    <n v="100"/>
    <x v="0"/>
  </r>
  <r>
    <s v="TON"/>
    <s v="EAS"/>
    <x v="193"/>
    <x v="3"/>
    <n v="5636.4184569999998"/>
    <x v="3"/>
    <n v="17238.20175"/>
    <n v="71"/>
    <n v="104951"/>
    <m/>
    <m/>
    <m/>
    <m/>
    <m/>
    <n v="164.25"/>
    <n v="100"/>
    <x v="0"/>
  </r>
  <r>
    <s v="TTO"/>
    <s v="LCN"/>
    <x v="194"/>
    <x v="0"/>
    <n v="28910.908200000002"/>
    <x v="0"/>
    <n v="727874"/>
    <n v="94.31"/>
    <n v="1328100"/>
    <m/>
    <n v="12"/>
    <n v="84"/>
    <m/>
    <n v="0.8"/>
    <n v="548.05999999999995"/>
    <n v="100"/>
    <x v="0"/>
  </r>
  <r>
    <s v="TUN"/>
    <s v="MEA"/>
    <x v="195"/>
    <x v="2"/>
    <n v="10505.262699999999"/>
    <x v="2"/>
    <n v="2700000"/>
    <n v="65"/>
    <n v="11143908"/>
    <n v="4"/>
    <m/>
    <n v="21"/>
    <m/>
    <n v="5"/>
    <n v="242.28"/>
    <n v="96"/>
    <x v="0"/>
  </r>
  <r>
    <s v="TUR"/>
    <s v="ECS"/>
    <x v="196"/>
    <x v="3"/>
    <n v="28289.087889999999"/>
    <x v="3"/>
    <n v="35374156"/>
    <m/>
    <n v="83429616"/>
    <m/>
    <m/>
    <n v="44"/>
    <m/>
    <n v="1"/>
    <n v="424"/>
    <n v="100"/>
    <x v="0"/>
  </r>
  <r>
    <s v="TUV"/>
    <s v="EAS"/>
    <x v="197"/>
    <x v="3"/>
    <n v="3793.1276859999998"/>
    <x v="3"/>
    <n v="3989.4865"/>
    <n v="47"/>
    <n v="11097"/>
    <n v="15"/>
    <m/>
    <n v="14.5"/>
    <m/>
    <m/>
    <n v="359.51"/>
    <n v="85"/>
    <x v="0"/>
  </r>
  <r>
    <s v="TWN"/>
    <s v="EAS"/>
    <x v="198"/>
    <x v="0"/>
    <n v="57362.925779999998"/>
    <x v="0"/>
    <n v="7336000"/>
    <m/>
    <n v="23434000"/>
    <m/>
    <m/>
    <m/>
    <n v="64.2"/>
    <m/>
    <n v="313.05"/>
    <n v="100"/>
    <x v="0"/>
  </r>
  <r>
    <s v="TZA"/>
    <s v="SSF"/>
    <x v="199"/>
    <x v="1"/>
    <n v="2128.5539549999999"/>
    <x v="1"/>
    <n v="9276995"/>
    <m/>
    <n v="49082996"/>
    <m/>
    <m/>
    <n v="69"/>
    <m/>
    <m/>
    <n v="189.01"/>
    <n v="100"/>
    <x v="0"/>
  </r>
  <r>
    <s v="UGA"/>
    <s v="SSF"/>
    <x v="200"/>
    <x v="1"/>
    <n v="1972.3017580000001"/>
    <x v="1"/>
    <n v="7045049.8360000001"/>
    <m/>
    <n v="35093648"/>
    <n v="6"/>
    <m/>
    <n v="87"/>
    <m/>
    <m/>
    <n v="200.75"/>
    <n v="94"/>
    <x v="0"/>
  </r>
  <r>
    <s v="UKR"/>
    <s v="ECS"/>
    <x v="201"/>
    <x v="2"/>
    <n v="11534.637699999999"/>
    <x v="2"/>
    <n v="15242025"/>
    <n v="75.86"/>
    <n v="45004644"/>
    <n v="3.2"/>
    <m/>
    <m/>
    <n v="2.73"/>
    <m/>
    <n v="338.68"/>
    <n v="96.8"/>
    <x v="0"/>
  </r>
  <r>
    <s v="URY"/>
    <s v="LCN"/>
    <x v="202"/>
    <x v="0"/>
    <n v="20588.39258"/>
    <x v="0"/>
    <n v="1260139.5090000001"/>
    <n v="98"/>
    <n v="3431552"/>
    <n v="8"/>
    <n v="61.7"/>
    <n v="17.5"/>
    <m/>
    <m/>
    <n v="367.22"/>
    <n v="92"/>
    <x v="0"/>
  </r>
  <r>
    <s v="USA"/>
    <s v="NAC"/>
    <x v="203"/>
    <x v="0"/>
    <n v="61498.371090000001"/>
    <x v="0"/>
    <n v="265224528"/>
    <n v="100"/>
    <n v="326687488"/>
    <n v="34.6"/>
    <m/>
    <m/>
    <n v="12.8"/>
    <m/>
    <n v="811.86"/>
    <n v="65.400000000000006"/>
    <x v="1"/>
  </r>
  <r>
    <s v="UZB"/>
    <s v="ECS"/>
    <x v="204"/>
    <x v="2"/>
    <n v="5164.2744140000004"/>
    <x v="2"/>
    <n v="4000000"/>
    <m/>
    <n v="29774500"/>
    <m/>
    <m/>
    <n v="60"/>
    <m/>
    <m/>
    <n v="134.34"/>
    <n v="100"/>
    <x v="0"/>
  </r>
  <r>
    <s v="VCT"/>
    <s v="LCN"/>
    <x v="205"/>
    <x v="3"/>
    <n v="11971.99316"/>
    <x v="3"/>
    <n v="31561.349249999999"/>
    <m/>
    <n v="109455"/>
    <m/>
    <m/>
    <m/>
    <m/>
    <n v="0.09"/>
    <n v="288.35000000000002"/>
    <n v="100"/>
    <x v="0"/>
  </r>
  <r>
    <s v="VEN"/>
    <s v="LCN"/>
    <x v="206"/>
    <x v="3"/>
    <n v="14269.67383"/>
    <x v="3"/>
    <n v="9779093.1400000006"/>
    <n v="100"/>
    <n v="29893080"/>
    <m/>
    <m/>
    <m/>
    <m/>
    <m/>
    <n v="327.14"/>
    <n v="100"/>
    <x v="0"/>
  </r>
  <r>
    <s v="VGB"/>
    <s v="LCN"/>
    <x v="207"/>
    <x v="0"/>
    <n v="24215.882809999999"/>
    <x v="0"/>
    <n v="21099.19"/>
    <n v="97.2"/>
    <n v="20645"/>
    <m/>
    <m/>
    <m/>
    <n v="80.3"/>
    <m/>
    <n v="1022"/>
    <n v="100"/>
    <x v="0"/>
  </r>
  <r>
    <s v="VIR"/>
    <s v="LCN"/>
    <x v="208"/>
    <x v="0"/>
    <n v="30436.564450000002"/>
    <x v="0"/>
    <n v="146500"/>
    <m/>
    <n v="105784"/>
    <m/>
    <m/>
    <m/>
    <m/>
    <m/>
    <n v="1384.9"/>
    <n v="100"/>
    <x v="0"/>
  </r>
  <r>
    <s v="VNM"/>
    <s v="EAS"/>
    <x v="209"/>
    <x v="2"/>
    <n v="5089.4111329999996"/>
    <x v="2"/>
    <n v="9570300"/>
    <n v="72"/>
    <n v="86932496"/>
    <n v="23"/>
    <m/>
    <m/>
    <m/>
    <n v="15"/>
    <n v="110.09"/>
    <n v="77"/>
    <x v="1"/>
  </r>
  <r>
    <s v="VUT"/>
    <s v="EAS"/>
    <x v="210"/>
    <x v="2"/>
    <n v="3061.7873540000001"/>
    <x v="2"/>
    <n v="70225.489000000001"/>
    <n v="12"/>
    <n v="270402"/>
    <n v="37"/>
    <m/>
    <n v="11.3"/>
    <m/>
    <m/>
    <n v="259.70999999999998"/>
    <n v="63"/>
    <x v="1"/>
  </r>
  <r>
    <s v="WSM"/>
    <s v="EAS"/>
    <x v="211"/>
    <x v="3"/>
    <n v="6210.9833980000003"/>
    <x v="3"/>
    <n v="27399.09"/>
    <n v="100"/>
    <n v="187665"/>
    <n v="36"/>
    <n v="31"/>
    <m/>
    <m/>
    <m/>
    <n v="146"/>
    <n v="64"/>
    <x v="1"/>
  </r>
  <r>
    <s v="XKX"/>
    <s v="ECS"/>
    <x v="212"/>
    <x v="2"/>
    <n v="9723.5615230000003"/>
    <x v="2"/>
    <n v="319000"/>
    <n v="39"/>
    <n v="1801800"/>
    <m/>
    <n v="66.430000000000007"/>
    <n v="33.57"/>
    <m/>
    <m/>
    <n v="177.05"/>
    <n v="100"/>
    <x v="0"/>
  </r>
  <r>
    <s v="YEM"/>
    <s v="MEA"/>
    <x v="213"/>
    <x v="1"/>
    <n v="8269.671875"/>
    <x v="1"/>
    <n v="4836820"/>
    <n v="20"/>
    <n v="27584212"/>
    <n v="8"/>
    <n v="12"/>
    <n v="25"/>
    <m/>
    <m/>
    <n v="175.35"/>
    <n v="92"/>
    <x v="0"/>
  </r>
  <r>
    <s v="ZAF"/>
    <s v="SSF"/>
    <x v="214"/>
    <x v="3"/>
    <n v="12666.60742"/>
    <x v="3"/>
    <n v="18457232"/>
    <m/>
    <n v="51729344"/>
    <n v="28"/>
    <n v="72"/>
    <m/>
    <m/>
    <m/>
    <n v="356.8"/>
    <n v="72"/>
    <x v="1"/>
  </r>
  <r>
    <s v="ZMB"/>
    <s v="SSF"/>
    <x v="215"/>
    <x v="2"/>
    <n v="3201.289307"/>
    <x v="2"/>
    <n v="2608268"/>
    <n v="20"/>
    <n v="14264756"/>
    <m/>
    <m/>
    <m/>
    <m/>
    <m/>
    <n v="182.85"/>
    <n v="100"/>
    <x v="0"/>
  </r>
  <r>
    <s v="ZWE"/>
    <s v="SSF"/>
    <x v="216"/>
    <x v="1"/>
    <n v="3190.5065920000002"/>
    <x v="1"/>
    <n v="1449752"/>
    <m/>
    <n v="12500525"/>
    <n v="16"/>
    <m/>
    <m/>
    <m/>
    <m/>
    <n v="115.98"/>
    <n v="8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8B80F-B3DC-4275-A0D4-B60A574106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7">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s>
  <rowItems count="1">
    <i/>
  </rowItems>
  <colItems count="1">
    <i/>
  </colItems>
  <dataFields count="1">
    <dataField name="Average of Recycling gap (%)" fld="15" subtotal="average" baseField="0" baseItem="0" numFmtId="43"/>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6F112-7AC7-441F-BD47-ECCC00CB89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23" firstHeaderRow="1" firstDataRow="1" firstDataCol="1"/>
  <pivotFields count="17">
    <pivotField showAll="0"/>
    <pivotField showAll="0"/>
    <pivotField axis="axisRow" showAll="0" measureFilter="1" sortType="ascending">
      <items count="218">
        <item x="1"/>
        <item x="3"/>
        <item x="55"/>
        <item x="8"/>
        <item x="4"/>
        <item x="2"/>
        <item x="9"/>
        <item x="6"/>
        <item x="7"/>
        <item x="0"/>
        <item x="10"/>
        <item x="11"/>
        <item x="12"/>
        <item x="20"/>
        <item x="19"/>
        <item x="17"/>
        <item x="27"/>
        <item x="22"/>
        <item x="14"/>
        <item x="23"/>
        <item x="15"/>
        <item x="24"/>
        <item x="29"/>
        <item x="25"/>
        <item x="21"/>
        <item x="30"/>
        <item x="26"/>
        <item x="207"/>
        <item x="28"/>
        <item x="18"/>
        <item x="16"/>
        <item x="13"/>
        <item x="37"/>
        <item x="43"/>
        <item x="102"/>
        <item x="38"/>
        <item x="32"/>
        <item x="47"/>
        <item x="31"/>
        <item x="187"/>
        <item x="34"/>
        <item x="35"/>
        <item x="36"/>
        <item x="41"/>
        <item x="42"/>
        <item x="39"/>
        <item x="40"/>
        <item x="44"/>
        <item x="84"/>
        <item x="45"/>
        <item x="46"/>
        <item x="48"/>
        <item x="49"/>
        <item x="53"/>
        <item x="51"/>
        <item x="52"/>
        <item x="54"/>
        <item x="56"/>
        <item x="57"/>
        <item x="172"/>
        <item x="75"/>
        <item x="58"/>
        <item x="60"/>
        <item x="182"/>
        <item x="61"/>
        <item x="65"/>
        <item x="63"/>
        <item x="62"/>
        <item x="64"/>
        <item x="161"/>
        <item x="67"/>
        <item x="73"/>
        <item x="69"/>
        <item x="50"/>
        <item x="70"/>
        <item x="71"/>
        <item x="76"/>
        <item x="78"/>
        <item x="77"/>
        <item x="80"/>
        <item x="79"/>
        <item x="72"/>
        <item x="74"/>
        <item x="81"/>
        <item x="85"/>
        <item x="83"/>
        <item x="82"/>
        <item x="86"/>
        <item x="93"/>
        <item x="89"/>
        <item x="87"/>
        <item x="91"/>
        <item x="92"/>
        <item x="90"/>
        <item x="88"/>
        <item x="94"/>
        <item x="95"/>
        <item x="96"/>
        <item x="98"/>
        <item x="97"/>
        <item x="99"/>
        <item x="100"/>
        <item x="103"/>
        <item x="105"/>
        <item x="212"/>
        <item x="106"/>
        <item x="101"/>
        <item x="107"/>
        <item x="117"/>
        <item x="108"/>
        <item x="114"/>
        <item x="109"/>
        <item x="110"/>
        <item x="112"/>
        <item x="115"/>
        <item x="116"/>
        <item x="118"/>
        <item x="127"/>
        <item x="123"/>
        <item x="137"/>
        <item x="138"/>
        <item x="124"/>
        <item x="128"/>
        <item x="129"/>
        <item x="126"/>
        <item x="135"/>
        <item x="136"/>
        <item x="125"/>
        <item x="66"/>
        <item x="122"/>
        <item x="121"/>
        <item x="132"/>
        <item x="131"/>
        <item x="120"/>
        <item x="134"/>
        <item x="130"/>
        <item x="139"/>
        <item x="147"/>
        <item x="146"/>
        <item x="144"/>
        <item x="140"/>
        <item x="148"/>
        <item x="143"/>
        <item x="141"/>
        <item x="142"/>
        <item x="133"/>
        <item x="145"/>
        <item x="149"/>
        <item x="150"/>
        <item x="154"/>
        <item x="151"/>
        <item x="155"/>
        <item x="159"/>
        <item x="152"/>
        <item x="153"/>
        <item x="156"/>
        <item x="158"/>
        <item x="157"/>
        <item x="162"/>
        <item x="163"/>
        <item x="164"/>
        <item x="165"/>
        <item x="177"/>
        <item x="211"/>
        <item x="173"/>
        <item x="166"/>
        <item x="168"/>
        <item x="175"/>
        <item x="184"/>
        <item x="171"/>
        <item x="169"/>
        <item x="183"/>
        <item x="179"/>
        <item x="180"/>
        <item x="170"/>
        <item x="174"/>
        <item x="214"/>
        <item x="176"/>
        <item x="59"/>
        <item x="113"/>
        <item x="104"/>
        <item x="111"/>
        <item x="119"/>
        <item x="205"/>
        <item x="167"/>
        <item x="178"/>
        <item x="181"/>
        <item x="33"/>
        <item x="185"/>
        <item x="198"/>
        <item x="190"/>
        <item x="199"/>
        <item x="189"/>
        <item x="192"/>
        <item x="188"/>
        <item x="193"/>
        <item x="194"/>
        <item x="195"/>
        <item x="196"/>
        <item x="191"/>
        <item x="186"/>
        <item x="197"/>
        <item x="200"/>
        <item x="201"/>
        <item x="5"/>
        <item x="68"/>
        <item x="203"/>
        <item x="202"/>
        <item x="204"/>
        <item x="210"/>
        <item x="206"/>
        <item x="209"/>
        <item x="208"/>
        <item x="160"/>
        <item x="213"/>
        <item x="215"/>
        <item x="2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s>
  <rowFields count="1">
    <field x="2"/>
  </rowFields>
  <rowItems count="11">
    <i>
      <x v="10"/>
    </i>
    <i>
      <x v="164"/>
    </i>
    <i>
      <x v="173"/>
    </i>
    <i>
      <x v="73"/>
    </i>
    <i>
      <x v="94"/>
    </i>
    <i>
      <x v="88"/>
    </i>
    <i>
      <x v="103"/>
    </i>
    <i>
      <x v="170"/>
    </i>
    <i>
      <x v="113"/>
    </i>
    <i>
      <x v="65"/>
    </i>
    <i t="grand">
      <x/>
    </i>
  </rowItems>
  <colItems count="1">
    <i/>
  </colItems>
  <dataFields count="1">
    <dataField name="Average of waste_treatment_recycling_percent" fld="9" subtotal="average" baseField="2" baseItem="0" numFmtId="43"/>
  </dataFields>
  <formats count="5">
    <format dxfId="206">
      <pivotArea collapsedLevelsAreSubtotals="1" fieldPosition="0">
        <references count="1">
          <reference field="2" count="4">
            <x v="10"/>
            <x v="73"/>
            <x v="164"/>
            <x v="173"/>
          </reference>
        </references>
      </pivotArea>
    </format>
    <format dxfId="207">
      <pivotArea collapsedLevelsAreSubtotals="1" fieldPosition="0">
        <references count="1">
          <reference field="2" count="1">
            <x v="88"/>
          </reference>
        </references>
      </pivotArea>
    </format>
    <format dxfId="208">
      <pivotArea collapsedLevelsAreSubtotals="1" fieldPosition="0">
        <references count="1">
          <reference field="2" count="1">
            <x v="113"/>
          </reference>
        </references>
      </pivotArea>
    </format>
    <format dxfId="209">
      <pivotArea grandRow="1" outline="0" collapsedLevelsAreSubtotals="1" fieldPosition="0"/>
    </format>
    <format dxfId="210">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398A8-819D-477A-998F-EB93AB35F4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7">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s>
  <rowItems count="1">
    <i/>
  </rowItems>
  <colItems count="1">
    <i/>
  </colItems>
  <dataFields count="1">
    <dataField name="Average of MSW_per_capita (kg/year)" fld="14" subtotal="average" baseField="0" baseItem="0" numFmtId="43"/>
  </dataFields>
  <formats count="1">
    <format dxfId="2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4EA02-E6A8-4D13-901B-F56E96C4ED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2:L17" firstHeaderRow="0" firstDataRow="1" firstDataCol="1"/>
  <pivotFields count="17">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dataField="1" showAll="0"/>
    <pivotField dataField="1" showAll="0"/>
    <pivotField dataField="1" showAll="0"/>
    <pivotField dataField="1" showAll="0"/>
    <pivotField showAll="0"/>
    <pivotField showAll="0"/>
    <pivotField showAll="0"/>
    <pivotField showAll="0">
      <items count="4">
        <item x="2"/>
        <item x="0"/>
        <item x="1"/>
        <item t="default"/>
      </items>
    </pivotField>
  </pivotFields>
  <rowFields count="1">
    <field x="5"/>
  </rowFields>
  <rowItems count="5">
    <i>
      <x/>
    </i>
    <i>
      <x v="1"/>
    </i>
    <i>
      <x v="2"/>
    </i>
    <i>
      <x v="3"/>
    </i>
    <i t="grand">
      <x/>
    </i>
  </rowItems>
  <colFields count="1">
    <field x="-2"/>
  </colFields>
  <colItems count="4">
    <i>
      <x/>
    </i>
    <i i="1">
      <x v="1"/>
    </i>
    <i i="2">
      <x v="2"/>
    </i>
    <i i="3">
      <x v="3"/>
    </i>
  </colItems>
  <dataFields count="4">
    <dataField name="Average of waste_treatment_recycling_percent" fld="9" subtotal="average" baseField="0" baseItem="0"/>
    <dataField name="Average of waste_treatment_incineration_percent" fld="12" subtotal="average" baseField="0" baseItem="0"/>
    <dataField name="Average of waste_treatment_controlled_landfill_percent" fld="10" subtotal="average" baseField="0" baseItem="0"/>
    <dataField name="Average of waste_treatment_open_dump_percent" fld="11" subtotal="average" baseField="0" baseItem="0"/>
  </dataFields>
  <formats count="6">
    <format dxfId="200">
      <pivotArea collapsedLevelsAreSubtotals="1" fieldPosition="0">
        <references count="2">
          <reference field="4294967294" count="1" selected="0">
            <x v="0"/>
          </reference>
          <reference field="5" count="0"/>
        </references>
      </pivotArea>
    </format>
    <format dxfId="201">
      <pivotArea collapsedLevelsAreSubtotals="1" fieldPosition="0">
        <references count="2">
          <reference field="4294967294" count="1" selected="0">
            <x v="1"/>
          </reference>
          <reference field="5" count="0"/>
        </references>
      </pivotArea>
    </format>
    <format dxfId="202">
      <pivotArea collapsedLevelsAreSubtotals="1" fieldPosition="0">
        <references count="2">
          <reference field="4294967294" count="1" selected="0">
            <x v="2"/>
          </reference>
          <reference field="5" count="0"/>
        </references>
      </pivotArea>
    </format>
    <format dxfId="203">
      <pivotArea collapsedLevelsAreSubtotals="1" fieldPosition="0">
        <references count="2">
          <reference field="4294967294" count="1" selected="0">
            <x v="3"/>
          </reference>
          <reference field="5" count="0"/>
        </references>
      </pivotArea>
    </format>
    <format dxfId="204">
      <pivotArea grandRow="1" outline="0" collapsedLevelsAreSubtotals="1" fieldPosition="0"/>
    </format>
    <format dxfId="205">
      <pivotArea outline="0" collapsedLevelsAreSubtotals="1" fieldPosition="0"/>
    </format>
  </formats>
  <chartFormats count="1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3"/>
          </reference>
          <reference field="5" count="1" selected="0">
            <x v="1"/>
          </reference>
        </references>
      </pivotArea>
    </chartFormat>
    <chartFormat chart="5" format="14">
      <pivotArea type="data" outline="0" fieldPosition="0">
        <references count="2">
          <reference field="4294967294" count="1" selected="0">
            <x v="3"/>
          </reference>
          <reference field="5" count="1" selected="0">
            <x v="2"/>
          </reference>
        </references>
      </pivotArea>
    </chartFormat>
    <chartFormat chart="5" format="15">
      <pivotArea type="data" outline="0" fieldPosition="0">
        <references count="2">
          <reference field="4294967294" count="1" selected="0">
            <x v="3"/>
          </reference>
          <reference field="5" count="1" selected="0">
            <x v="3"/>
          </reference>
        </references>
      </pivotArea>
    </chartFormat>
    <chartFormat chart="5" format="16">
      <pivotArea type="data" outline="0" fieldPosition="0">
        <references count="2">
          <reference field="4294967294" count="1" selected="0">
            <x v="2"/>
          </reference>
          <reference field="5" count="1" selected="0">
            <x v="2"/>
          </reference>
        </references>
      </pivotArea>
    </chartFormat>
    <chartFormat chart="5" format="17">
      <pivotArea type="data" outline="0" fieldPosition="0">
        <references count="2">
          <reference field="4294967294" count="1" selected="0">
            <x v="2"/>
          </reference>
          <reference field="5" count="1" selected="0">
            <x v="0"/>
          </reference>
        </references>
      </pivotArea>
    </chartFormat>
    <chartFormat chart="5" format="18">
      <pivotArea type="data" outline="0" fieldPosition="0">
        <references count="2">
          <reference field="4294967294" count="1" selected="0">
            <x v="3"/>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5251F8-9BD5-4222-8DA9-4DBB1F3BE0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I7" firstHeaderRow="1" firstDataRow="1" firstDataCol="1"/>
  <pivotFields count="17">
    <pivotField showAll="0"/>
    <pivotField showAll="0"/>
    <pivotField dataField="1"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5"/>
  </rowFields>
  <rowItems count="5">
    <i>
      <x/>
    </i>
    <i>
      <x v="1"/>
    </i>
    <i>
      <x v="2"/>
    </i>
    <i>
      <x v="3"/>
    </i>
    <i t="grand">
      <x/>
    </i>
  </rowItems>
  <colItems count="1">
    <i/>
  </colItems>
  <dataFields count="1">
    <dataField name="Count of country_name" fld="2" subtotal="count" baseField="0" baseItem="0"/>
  </dataFields>
  <chartFormats count="10">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2" format="9">
      <pivotArea type="data" outline="0" fieldPosition="0">
        <references count="2">
          <reference field="4294967294" count="1" selected="0">
            <x v="0"/>
          </reference>
          <reference field="5"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5" count="1" selected="0">
            <x v="0"/>
          </reference>
        </references>
      </pivotArea>
    </chartFormat>
    <chartFormat chart="15" format="8">
      <pivotArea type="data" outline="0" fieldPosition="0">
        <references count="2">
          <reference field="4294967294" count="1" selected="0">
            <x v="0"/>
          </reference>
          <reference field="5" count="1" selected="0">
            <x v="1"/>
          </reference>
        </references>
      </pivotArea>
    </chartFormat>
    <chartFormat chart="15" format="9">
      <pivotArea type="data" outline="0" fieldPosition="0">
        <references count="2">
          <reference field="4294967294" count="1" selected="0">
            <x v="0"/>
          </reference>
          <reference field="5" count="1" selected="0">
            <x v="2"/>
          </reference>
        </references>
      </pivotArea>
    </chartFormat>
    <chartFormat chart="1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057409-654F-4178-9474-BD69972E54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7">
    <pivotField showAll="0"/>
    <pivotField showAll="0"/>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s>
  <rowFields count="1">
    <field x="3"/>
  </rowFields>
  <rowItems count="5">
    <i>
      <x v="1"/>
    </i>
    <i>
      <x v="3"/>
    </i>
    <i>
      <x v="2"/>
    </i>
    <i>
      <x/>
    </i>
    <i t="grand">
      <x/>
    </i>
  </rowItems>
  <colItems count="1">
    <i/>
  </colItems>
  <dataFields count="1">
    <dataField name="Average of waste_treatment_recycling_percent" fld="9" subtotal="average" baseField="3" baseItem="0"/>
  </dataFields>
  <formats count="4">
    <format dxfId="212">
      <pivotArea collapsedLevelsAreSubtotals="1" fieldPosition="0">
        <references count="1">
          <reference field="3" count="0"/>
        </references>
      </pivotArea>
    </format>
    <format dxfId="213">
      <pivotArea collapsedLevelsAreSubtotals="1" fieldPosition="0">
        <references count="1">
          <reference field="3" count="1">
            <x v="1"/>
          </reference>
        </references>
      </pivotArea>
    </format>
    <format dxfId="214">
      <pivotArea collapsedLevelsAreSubtotals="1" fieldPosition="0">
        <references count="1">
          <reference field="3" count="3">
            <x v="0"/>
            <x v="2"/>
            <x v="3"/>
          </reference>
        </references>
      </pivotArea>
    </format>
    <format dxfId="215">
      <pivotArea grandRow="1"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21BE20-EAD2-4A66-A002-9916143CC3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17">
    <pivotField showAll="0"/>
    <pivotField showAll="0"/>
    <pivotField showAll="0"/>
    <pivotField showAll="0"/>
    <pivotField showAll="0"/>
    <pivotField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s>
  <rowItems count="1">
    <i/>
  </rowItems>
  <colItems count="1">
    <i/>
  </colItems>
  <dataFields count="1">
    <dataField name="Average of waste_treatment_recycling_percent" fld="9" subtotal="average" baseField="0" baseItem="0" numFmtId="43"/>
  </dataFields>
  <formats count="1">
    <format dxfId="1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60B761-B8FD-40DB-A056-113B06E10B8A}" autoFormatId="16" applyNumberFormats="0" applyBorderFormats="0" applyFontFormats="0" applyPatternFormats="0" applyAlignmentFormats="0" applyWidthHeightFormats="0">
  <queryTableRefresh nextId="18" unboundColumnsRight="3">
    <queryTableFields count="17">
      <queryTableField id="1" name="iso3c" tableColumnId="1"/>
      <queryTableField id="2" name="region_id" tableColumnId="2"/>
      <queryTableField id="3" name="country_name" tableColumnId="3"/>
      <queryTableField id="4" name="income_id" tableColumnId="4"/>
      <queryTableField id="5" name="gdp" tableColumnId="5"/>
      <queryTableField id="16" dataBound="0" tableColumnId="16"/>
      <queryTableField id="6" name="total_msw_total_msw_generated_tons_year" tableColumnId="6"/>
      <queryTableField id="7" name="waste_collection_coverage_total_percent_of_population" tableColumnId="7"/>
      <queryTableField id="8" name="population_population_number_of_people" tableColumnId="8"/>
      <queryTableField id="9" name="waste_treatment_recycling_percent" tableColumnId="9"/>
      <queryTableField id="10" name="waste_treatment_controlled_landfill_percent" tableColumnId="10"/>
      <queryTableField id="11" name="waste_treatment_open_dump_percent" tableColumnId="11"/>
      <queryTableField id="12" name="waste_treatment_incineration_percent" tableColumnId="12"/>
      <queryTableField id="13" name="waste_treatment_compost_percent" tableColumnId="13"/>
      <queryTableField id="14" dataBound="0" tableColumnId="14"/>
      <queryTableField id="15" dataBound="0" tableColumnId="15"/>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abel" xr10:uid="{5E824B14-AE6F-4861-BB4A-58418AC2FDF7}" sourceName="Income_Label">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152884860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ycling_performance" xr10:uid="{BC7C4AB6-EE05-4678-905A-84D527786427}" sourceName="Recycling performance">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15288486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Label" xr10:uid="{CB8CEC14-C9E5-43B5-83BD-1982AA54EF82}" cache="Slicer_Income_Label" caption="Income_Label" rowHeight="251883"/>
  <slicer name="Recycling performance" xr10:uid="{CD89EA4C-6BFF-4CD3-9F81-68A7EAE108DB}" cache="Slicer_Recycling_performance" caption="Recycling performanc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Label 1" xr10:uid="{5B12E006-B510-4319-BF11-63147ACF532E}" cache="Slicer_Income_Label" caption="Income_Label" style="SlicerStyleDark3" rowHeight="251883"/>
  <slicer name="Recycling performance 1" xr10:uid="{B5CE4553-4EBA-4BFE-A931-05D5582EEF6F}" cache="Slicer_Recycling_performance" caption="Recycling performance" style="SlicerStyleDark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85366-482E-4172-8AF6-C3F68D7DD000}" name="country_level_data" displayName="country_level_data" ref="A1:Q218" tableType="queryTable" totalsRowShown="0">
  <autoFilter ref="A1:Q218" xr:uid="{DA285366-482E-4172-8AF6-C3F68D7DD000}"/>
  <tableColumns count="17">
    <tableColumn id="1" xr3:uid="{21C1328B-9E71-4099-B0FE-789855ECB7F2}" uniqueName="1" name="iso3c" queryTableFieldId="1" dataDxfId="223"/>
    <tableColumn id="2" xr3:uid="{BABB41E0-38EC-4F59-B53E-FC78DA45A7ED}" uniqueName="2" name="region_id" queryTableFieldId="2" dataDxfId="222"/>
    <tableColumn id="3" xr3:uid="{045CCF51-9DD3-426E-8703-15BB7117E74D}" uniqueName="3" name="country_name" queryTableFieldId="3" dataDxfId="221"/>
    <tableColumn id="4" xr3:uid="{2A5DCC7D-D7A8-4E9D-8822-84F3A9B4F904}" uniqueName="4" name="income_id" queryTableFieldId="4" dataDxfId="220"/>
    <tableColumn id="5" xr3:uid="{353A4ABC-E897-4448-B92B-B1222D827CB7}" uniqueName="5" name="gdp" queryTableFieldId="5"/>
    <tableColumn id="16" xr3:uid="{458A7A59-12B6-4F55-B03C-C523124ADAB7}" uniqueName="16" name="Income_Label" queryTableFieldId="16" dataDxfId="219">
      <calculatedColumnFormula>_xlfn.XLOOKUP(D2, Income_Lookup[income_id], Income_Lookup[income_label])</calculatedColumnFormula>
    </tableColumn>
    <tableColumn id="6" xr3:uid="{C2E180E5-2596-4AC0-BC31-5E924020F40E}" uniqueName="6" name="total_msw_total_msw_generated_tons_year" queryTableFieldId="6"/>
    <tableColumn id="7" xr3:uid="{7C70B3BC-BDAA-4358-A592-A5687BDC1842}" uniqueName="7" name="waste_collection_coverage_total_percent_of_population" queryTableFieldId="7"/>
    <tableColumn id="8" xr3:uid="{6A2C9E3B-30A6-4ACF-94C6-7DA2406BFE1C}" uniqueName="8" name="population_population_number_of_people" queryTableFieldId="8"/>
    <tableColumn id="9" xr3:uid="{CE67B94B-6E0B-440C-B611-03AD58F56BF7}" uniqueName="9" name="waste_treatment_recycling_percent" queryTableFieldId="9"/>
    <tableColumn id="10" xr3:uid="{4D0FC6A9-DB71-4EAF-8CE9-0BD9F2130BBE}" uniqueName="10" name="waste_treatment_controlled_landfill_percent" queryTableFieldId="10"/>
    <tableColumn id="11" xr3:uid="{470AD62A-EE61-4DCB-81C3-742A35DB13A7}" uniqueName="11" name="waste_treatment_open_dump_percent" queryTableFieldId="11"/>
    <tableColumn id="12" xr3:uid="{8339AFEF-95ED-4366-90D1-20CA1E4B638F}" uniqueName="12" name="waste_treatment_incineration_percent" queryTableFieldId="12"/>
    <tableColumn id="13" xr3:uid="{C29C7EA3-66F4-44D2-87A6-C433FA9B6AFF}" uniqueName="13" name="waste_treatment_compost_percent" queryTableFieldId="13"/>
    <tableColumn id="14" xr3:uid="{51B94F36-49A2-40F2-9E7C-D533AAF0020F}" uniqueName="14" name="MSW_per_capita (kg/year)" queryTableFieldId="14" dataDxfId="218">
      <calculatedColumnFormula>ROUND(country_level_data[[#This Row],[total_msw_total_msw_generated_tons_year]]*1000/country_level_data[[#This Row],[population_population_number_of_people]],2)</calculatedColumnFormula>
    </tableColumn>
    <tableColumn id="15" xr3:uid="{94A6A1DD-F413-44FF-9D87-FE2A5614C572}" uniqueName="15" name="Recycling gap (%)" queryTableFieldId="15" dataDxfId="217">
      <calculatedColumnFormula>100-country_level_data[[#This Row],[waste_treatment_recycling_percent]]</calculatedColumnFormula>
    </tableColumn>
    <tableColumn id="17" xr3:uid="{40D7B99C-4A15-4445-A6CD-CD83A80B5FA3}" uniqueName="17" name="Recycling performance" queryTableFieldId="17" dataDxfId="216">
      <calculatedColumnFormula array="1">_xlfn.SWITCH(
    TRUE(),
    J2&gt;=40, "High",
    J2&gt;=20, "Medium",
    J2&lt;20,  "Low"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96A044-9342-4DC1-B7EC-FBE1D076AAE3}" name="Income_Lookup" displayName="Income_Lookup" ref="A1:B6" totalsRowShown="0">
  <autoFilter ref="A1:B6" xr:uid="{4896A044-9342-4DC1-B7EC-FBE1D076AAE3}"/>
  <tableColumns count="2">
    <tableColumn id="1" xr3:uid="{8580E3D5-0BE3-4031-815A-98E53DD8D586}" name="income_id"/>
    <tableColumn id="2" xr3:uid="{3EE38312-43F8-4333-9980-9F8E9DD866CD}" name="income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C4F2-1F0F-4C90-ABFB-95C54B6B62E5}">
  <dimension ref="A1:Q218"/>
  <sheetViews>
    <sheetView workbookViewId="0"/>
  </sheetViews>
  <sheetFormatPr defaultRowHeight="14.5" x14ac:dyDescent="0.35"/>
  <cols>
    <col min="1" max="1" width="7.54296875" bestFit="1" customWidth="1"/>
    <col min="2" max="2" width="10.7265625" bestFit="1" customWidth="1"/>
    <col min="3" max="3" width="25.90625" bestFit="1" customWidth="1"/>
    <col min="4" max="5" width="11.81640625" bestFit="1" customWidth="1"/>
    <col min="6" max="6" width="18.36328125" bestFit="1" customWidth="1"/>
    <col min="7" max="7" width="39.54296875" bestFit="1" customWidth="1"/>
    <col min="8" max="8" width="50.54296875" bestFit="1" customWidth="1"/>
    <col min="9" max="9" width="39" bestFit="1" customWidth="1"/>
    <col min="10" max="10" width="33.26953125" bestFit="1" customWidth="1"/>
    <col min="11" max="11" width="41.1796875" bestFit="1" customWidth="1"/>
    <col min="12" max="12" width="35.6328125" bestFit="1" customWidth="1"/>
    <col min="13" max="13" width="35.90625" bestFit="1" customWidth="1"/>
    <col min="14" max="14" width="32.90625" bestFit="1" customWidth="1"/>
    <col min="15" max="15" width="25" bestFit="1" customWidth="1"/>
    <col min="16" max="16" width="17.90625" bestFit="1" customWidth="1"/>
    <col min="17" max="17" width="22.54296875" bestFit="1" customWidth="1"/>
  </cols>
  <sheetData>
    <row r="1" spans="1:17" x14ac:dyDescent="0.35">
      <c r="A1" t="s">
        <v>0</v>
      </c>
      <c r="B1" t="s">
        <v>1</v>
      </c>
      <c r="C1" t="s">
        <v>2</v>
      </c>
      <c r="D1" t="s">
        <v>3</v>
      </c>
      <c r="E1" t="s">
        <v>4</v>
      </c>
      <c r="F1" t="s">
        <v>468</v>
      </c>
      <c r="G1" t="s">
        <v>5</v>
      </c>
      <c r="H1" t="s">
        <v>6</v>
      </c>
      <c r="I1" t="s">
        <v>7</v>
      </c>
      <c r="J1" t="s">
        <v>8</v>
      </c>
      <c r="K1" t="s">
        <v>9</v>
      </c>
      <c r="L1" t="s">
        <v>10</v>
      </c>
      <c r="M1" t="s">
        <v>11</v>
      </c>
      <c r="N1" t="s">
        <v>12</v>
      </c>
      <c r="O1" t="s">
        <v>458</v>
      </c>
      <c r="P1" t="s">
        <v>459</v>
      </c>
      <c r="Q1" t="s">
        <v>475</v>
      </c>
    </row>
    <row r="2" spans="1:17" x14ac:dyDescent="0.35">
      <c r="A2" t="s">
        <v>13</v>
      </c>
      <c r="B2" t="s">
        <v>14</v>
      </c>
      <c r="C2" t="s">
        <v>15</v>
      </c>
      <c r="D2" t="s">
        <v>16</v>
      </c>
      <c r="E2">
        <v>35563.3125</v>
      </c>
      <c r="F2" t="str">
        <f>_xlfn.XLOOKUP(D2, Income_Lookup[income_id], Income_Lookup[income_label])</f>
        <v>High income</v>
      </c>
      <c r="G2">
        <v>88132.016699999993</v>
      </c>
      <c r="I2">
        <v>103187</v>
      </c>
      <c r="J2">
        <v>11</v>
      </c>
      <c r="O2">
        <f>ROUND(country_level_data[[#This Row],[total_msw_total_msw_generated_tons_year]]*1000/country_level_data[[#This Row],[population_population_number_of_people]],2)</f>
        <v>854.1</v>
      </c>
      <c r="P2">
        <f>100-country_level_data[[#This Row],[waste_treatment_recycling_percent]]</f>
        <v>89</v>
      </c>
      <c r="Q2" t="str" cm="1">
        <f t="array" ref="Q2">_xlfn.SWITCH(
    TRUE(),
    J2&gt;=40, "High",
    J2&gt;=20, "Medium",
    J2&lt;20,  "Low"
)</f>
        <v>Low</v>
      </c>
    </row>
    <row r="3" spans="1:17" x14ac:dyDescent="0.35">
      <c r="A3" t="s">
        <v>17</v>
      </c>
      <c r="B3" t="s">
        <v>18</v>
      </c>
      <c r="C3" t="s">
        <v>19</v>
      </c>
      <c r="D3" t="s">
        <v>20</v>
      </c>
      <c r="E3">
        <v>2057.0622560000002</v>
      </c>
      <c r="F3" t="str">
        <f>_xlfn.XLOOKUP(D3, Income_Lookup[income_id], Income_Lookup[income_label])</f>
        <v>Low income</v>
      </c>
      <c r="G3">
        <v>5628525.3700000001</v>
      </c>
      <c r="I3">
        <v>34656032</v>
      </c>
      <c r="O3">
        <f>ROUND(country_level_data[[#This Row],[total_msw_total_msw_generated_tons_year]]*1000/country_level_data[[#This Row],[population_population_number_of_people]],2)</f>
        <v>162.41</v>
      </c>
      <c r="P3">
        <f>100-country_level_data[[#This Row],[waste_treatment_recycling_percent]]</f>
        <v>100</v>
      </c>
      <c r="Q3" t="str" cm="1">
        <f t="array" ref="Q3">_xlfn.SWITCH(
    TRUE(),
    J3&gt;=40, "High",
    J3&gt;=20, "Medium",
    J3&lt;20,  "Low"
)</f>
        <v>Low</v>
      </c>
    </row>
    <row r="4" spans="1:17" x14ac:dyDescent="0.35">
      <c r="A4" t="s">
        <v>21</v>
      </c>
      <c r="B4" t="s">
        <v>22</v>
      </c>
      <c r="C4" t="s">
        <v>23</v>
      </c>
      <c r="D4" t="s">
        <v>24</v>
      </c>
      <c r="E4">
        <v>8036.6904299999997</v>
      </c>
      <c r="F4" t="str">
        <f>_xlfn.XLOOKUP(D4, Income_Lookup[income_id], Income_Lookup[income_label])</f>
        <v>Lower-middle income</v>
      </c>
      <c r="G4">
        <v>4213643.585</v>
      </c>
      <c r="H4">
        <v>23.1</v>
      </c>
      <c r="I4">
        <v>25096150</v>
      </c>
      <c r="O4">
        <f>ROUND(country_level_data[[#This Row],[total_msw_total_msw_generated_tons_year]]*1000/country_level_data[[#This Row],[population_population_number_of_people]],2)</f>
        <v>167.9</v>
      </c>
      <c r="P4">
        <f>100-country_level_data[[#This Row],[waste_treatment_recycling_percent]]</f>
        <v>100</v>
      </c>
      <c r="Q4" t="str" cm="1">
        <f t="array" ref="Q4">_xlfn.SWITCH(
    TRUE(),
    J4&gt;=40, "High",
    J4&gt;=20, "Medium",
    J4&lt;20,  "Low"
)</f>
        <v>Low</v>
      </c>
    </row>
    <row r="5" spans="1:17" x14ac:dyDescent="0.35">
      <c r="A5" t="s">
        <v>25</v>
      </c>
      <c r="B5" t="s">
        <v>26</v>
      </c>
      <c r="C5" t="s">
        <v>27</v>
      </c>
      <c r="D5" t="s">
        <v>28</v>
      </c>
      <c r="E5">
        <v>13724.058590000001</v>
      </c>
      <c r="F5" t="str">
        <f>_xlfn.XLOOKUP(D5, Income_Lookup[income_id], Income_Lookup[income_label])</f>
        <v>Upper-middle income</v>
      </c>
      <c r="G5">
        <v>1087446.75</v>
      </c>
      <c r="H5">
        <v>60</v>
      </c>
      <c r="I5">
        <v>2854191</v>
      </c>
      <c r="O5">
        <f>ROUND(country_level_data[[#This Row],[total_msw_total_msw_generated_tons_year]]*1000/country_level_data[[#This Row],[population_population_number_of_people]],2)</f>
        <v>381</v>
      </c>
      <c r="P5">
        <f>100-country_level_data[[#This Row],[waste_treatment_recycling_percent]]</f>
        <v>100</v>
      </c>
      <c r="Q5" t="str" cm="1">
        <f t="array" ref="Q5">_xlfn.SWITCH(
    TRUE(),
    J5&gt;=40, "High",
    J5&gt;=20, "Medium",
    J5&lt;20,  "Low"
)</f>
        <v>Low</v>
      </c>
    </row>
    <row r="6" spans="1:17" x14ac:dyDescent="0.35">
      <c r="A6" t="s">
        <v>29</v>
      </c>
      <c r="B6" t="s">
        <v>26</v>
      </c>
      <c r="C6" t="s">
        <v>30</v>
      </c>
      <c r="D6" t="s">
        <v>16</v>
      </c>
      <c r="E6">
        <v>43711.800779999998</v>
      </c>
      <c r="F6" t="str">
        <f>_xlfn.XLOOKUP(D6, Income_Lookup[income_id], Income_Lookup[income_label])</f>
        <v>High income</v>
      </c>
      <c r="G6">
        <v>43000</v>
      </c>
      <c r="H6">
        <v>100</v>
      </c>
      <c r="I6">
        <v>82431</v>
      </c>
      <c r="M6">
        <v>52.1</v>
      </c>
      <c r="O6">
        <f>ROUND(country_level_data[[#This Row],[total_msw_total_msw_generated_tons_year]]*1000/country_level_data[[#This Row],[population_population_number_of_people]],2)</f>
        <v>521.65</v>
      </c>
      <c r="P6">
        <f>100-country_level_data[[#This Row],[waste_treatment_recycling_percent]]</f>
        <v>100</v>
      </c>
      <c r="Q6" t="str" cm="1">
        <f t="array" ref="Q6">_xlfn.SWITCH(
    TRUE(),
    J6&gt;=40, "High",
    J6&gt;=20, "Medium",
    J6&lt;20,  "Low"
)</f>
        <v>Low</v>
      </c>
    </row>
    <row r="7" spans="1:17" x14ac:dyDescent="0.35">
      <c r="A7" t="s">
        <v>31</v>
      </c>
      <c r="B7" t="s">
        <v>32</v>
      </c>
      <c r="C7" t="s">
        <v>33</v>
      </c>
      <c r="D7" t="s">
        <v>16</v>
      </c>
      <c r="E7">
        <v>67119.132809999996</v>
      </c>
      <c r="F7" t="str">
        <f>_xlfn.XLOOKUP(D7, Income_Lookup[income_id], Income_Lookup[income_label])</f>
        <v>High income</v>
      </c>
      <c r="G7">
        <v>5617682</v>
      </c>
      <c r="I7">
        <v>9770529</v>
      </c>
      <c r="J7">
        <v>20</v>
      </c>
      <c r="L7">
        <v>62</v>
      </c>
      <c r="N7">
        <v>9</v>
      </c>
      <c r="O7">
        <f>ROUND(country_level_data[[#This Row],[total_msw_total_msw_generated_tons_year]]*1000/country_level_data[[#This Row],[population_population_number_of_people]],2)</f>
        <v>574.96</v>
      </c>
      <c r="P7">
        <f>100-country_level_data[[#This Row],[waste_treatment_recycling_percent]]</f>
        <v>80</v>
      </c>
      <c r="Q7" t="str" cm="1">
        <f t="array" ref="Q7">_xlfn.SWITCH(
    TRUE(),
    J7&gt;=40, "High",
    J7&gt;=20, "Medium",
    J7&lt;20,  "Low"
)</f>
        <v>Medium</v>
      </c>
    </row>
    <row r="8" spans="1:17" x14ac:dyDescent="0.35">
      <c r="A8" t="s">
        <v>34</v>
      </c>
      <c r="B8" t="s">
        <v>14</v>
      </c>
      <c r="C8" t="s">
        <v>35</v>
      </c>
      <c r="D8" t="s">
        <v>16</v>
      </c>
      <c r="E8">
        <v>23550.099610000001</v>
      </c>
      <c r="F8" t="str">
        <f>_xlfn.XLOOKUP(D8, Income_Lookup[income_id], Income_Lookup[income_label])</f>
        <v>High income</v>
      </c>
      <c r="G8">
        <v>17910550</v>
      </c>
      <c r="H8">
        <v>89.91</v>
      </c>
      <c r="I8">
        <v>42981516</v>
      </c>
      <c r="J8">
        <v>6</v>
      </c>
      <c r="K8">
        <v>8.9</v>
      </c>
      <c r="L8">
        <v>22.6</v>
      </c>
      <c r="O8">
        <f>ROUND(country_level_data[[#This Row],[total_msw_total_msw_generated_tons_year]]*1000/country_level_data[[#This Row],[population_population_number_of_people]],2)</f>
        <v>416.7</v>
      </c>
      <c r="P8">
        <f>100-country_level_data[[#This Row],[waste_treatment_recycling_percent]]</f>
        <v>94</v>
      </c>
      <c r="Q8" t="str" cm="1">
        <f t="array" ref="Q8">_xlfn.SWITCH(
    TRUE(),
    J8&gt;=40, "High",
    J8&gt;=20, "Medium",
    J8&lt;20,  "Low"
)</f>
        <v>Low</v>
      </c>
    </row>
    <row r="9" spans="1:17" x14ac:dyDescent="0.35">
      <c r="A9" t="s">
        <v>36</v>
      </c>
      <c r="B9" t="s">
        <v>26</v>
      </c>
      <c r="C9" t="s">
        <v>37</v>
      </c>
      <c r="D9" t="s">
        <v>28</v>
      </c>
      <c r="E9">
        <v>11019.83887</v>
      </c>
      <c r="F9" t="str">
        <f>_xlfn.XLOOKUP(D9, Income_Lookup[income_id], Income_Lookup[income_label])</f>
        <v>Upper-middle income</v>
      </c>
      <c r="G9">
        <v>492800</v>
      </c>
      <c r="I9">
        <v>2906220</v>
      </c>
      <c r="L9">
        <v>100</v>
      </c>
      <c r="O9">
        <f>ROUND(country_level_data[[#This Row],[total_msw_total_msw_generated_tons_year]]*1000/country_level_data[[#This Row],[population_population_number_of_people]],2)</f>
        <v>169.57</v>
      </c>
      <c r="P9">
        <f>100-country_level_data[[#This Row],[waste_treatment_recycling_percent]]</f>
        <v>100</v>
      </c>
      <c r="Q9" t="str" cm="1">
        <f t="array" ref="Q9">_xlfn.SWITCH(
    TRUE(),
    J9&gt;=40, "High",
    J9&gt;=20, "Medium",
    J9&lt;20,  "Low"
)</f>
        <v>Low</v>
      </c>
    </row>
    <row r="10" spans="1:17" x14ac:dyDescent="0.35">
      <c r="A10" t="s">
        <v>38</v>
      </c>
      <c r="B10" t="s">
        <v>39</v>
      </c>
      <c r="C10" t="s">
        <v>40</v>
      </c>
      <c r="D10" t="s">
        <v>28</v>
      </c>
      <c r="E10">
        <v>11113.44238</v>
      </c>
      <c r="F10" t="str">
        <f>_xlfn.XLOOKUP(D10, Income_Lookup[income_id], Income_Lookup[income_label])</f>
        <v>Upper-middle income</v>
      </c>
      <c r="G10">
        <v>18989.490000000002</v>
      </c>
      <c r="H10">
        <v>100</v>
      </c>
      <c r="I10">
        <v>55599</v>
      </c>
      <c r="O10">
        <f>ROUND(country_level_data[[#This Row],[total_msw_total_msw_generated_tons_year]]*1000/country_level_data[[#This Row],[population_population_number_of_people]],2)</f>
        <v>341.54</v>
      </c>
      <c r="P10">
        <f>100-country_level_data[[#This Row],[waste_treatment_recycling_percent]]</f>
        <v>100</v>
      </c>
      <c r="Q10" t="str" cm="1">
        <f t="array" ref="Q10">_xlfn.SWITCH(
    TRUE(),
    J10&gt;=40, "High",
    J10&gt;=20, "Medium",
    J10&lt;20,  "Low"
)</f>
        <v>Low</v>
      </c>
    </row>
    <row r="11" spans="1:17" x14ac:dyDescent="0.35">
      <c r="A11" t="s">
        <v>41</v>
      </c>
      <c r="B11" t="s">
        <v>14</v>
      </c>
      <c r="C11" t="s">
        <v>42</v>
      </c>
      <c r="D11" t="s">
        <v>16</v>
      </c>
      <c r="E11">
        <v>17965.501950000002</v>
      </c>
      <c r="F11" t="str">
        <f>_xlfn.XLOOKUP(D11, Income_Lookup[income_id], Income_Lookup[income_label])</f>
        <v>High income</v>
      </c>
      <c r="G11">
        <v>30585</v>
      </c>
      <c r="H11">
        <v>98.61</v>
      </c>
      <c r="I11">
        <v>96777</v>
      </c>
      <c r="K11">
        <v>98.68</v>
      </c>
      <c r="N11">
        <v>0.08</v>
      </c>
      <c r="O11">
        <f>ROUND(country_level_data[[#This Row],[total_msw_total_msw_generated_tons_year]]*1000/country_level_data[[#This Row],[population_population_number_of_people]],2)</f>
        <v>316.04000000000002</v>
      </c>
      <c r="P11">
        <f>100-country_level_data[[#This Row],[waste_treatment_recycling_percent]]</f>
        <v>100</v>
      </c>
      <c r="Q11" t="str" cm="1">
        <f t="array" ref="Q11">_xlfn.SWITCH(
    TRUE(),
    J11&gt;=40, "High",
    J11&gt;=20, "Medium",
    J11&lt;20,  "Low"
)</f>
        <v>Low</v>
      </c>
    </row>
    <row r="12" spans="1:17" x14ac:dyDescent="0.35">
      <c r="A12" t="s">
        <v>43</v>
      </c>
      <c r="B12" t="s">
        <v>39</v>
      </c>
      <c r="C12" t="s">
        <v>44</v>
      </c>
      <c r="D12" t="s">
        <v>16</v>
      </c>
      <c r="E12">
        <v>47784.179689999997</v>
      </c>
      <c r="F12" t="str">
        <f>_xlfn.XLOOKUP(D12, Income_Lookup[income_id], Income_Lookup[income_label])</f>
        <v>High income</v>
      </c>
      <c r="G12">
        <v>13345000</v>
      </c>
      <c r="I12">
        <v>23789338</v>
      </c>
      <c r="J12">
        <v>42.1</v>
      </c>
      <c r="M12">
        <v>9.77</v>
      </c>
      <c r="O12">
        <f>ROUND(country_level_data[[#This Row],[total_msw_total_msw_generated_tons_year]]*1000/country_level_data[[#This Row],[population_population_number_of_people]],2)</f>
        <v>560.97</v>
      </c>
      <c r="P12">
        <f>100-country_level_data[[#This Row],[waste_treatment_recycling_percent]]</f>
        <v>57.9</v>
      </c>
      <c r="Q12" t="str" cm="1">
        <f t="array" ref="Q12">_xlfn.SWITCH(
    TRUE(),
    J12&gt;=40, "High",
    J12&gt;=20, "Medium",
    J12&lt;20,  "Low"
)</f>
        <v>High</v>
      </c>
    </row>
    <row r="13" spans="1:17" x14ac:dyDescent="0.35">
      <c r="A13" t="s">
        <v>45</v>
      </c>
      <c r="B13" t="s">
        <v>26</v>
      </c>
      <c r="C13" t="s">
        <v>46</v>
      </c>
      <c r="D13" t="s">
        <v>16</v>
      </c>
      <c r="E13">
        <v>56029.613279999998</v>
      </c>
      <c r="F13" t="str">
        <f>_xlfn.XLOOKUP(D13, Income_Lookup[income_id], Income_Lookup[income_label])</f>
        <v>High income</v>
      </c>
      <c r="G13">
        <v>5219715.5</v>
      </c>
      <c r="I13">
        <v>8877067</v>
      </c>
      <c r="J13">
        <v>25.66</v>
      </c>
      <c r="M13">
        <v>37.9</v>
      </c>
      <c r="N13">
        <v>31.24</v>
      </c>
      <c r="O13">
        <f>ROUND(country_level_data[[#This Row],[total_msw_total_msw_generated_tons_year]]*1000/country_level_data[[#This Row],[population_population_number_of_people]],2)</f>
        <v>588</v>
      </c>
      <c r="P13">
        <f>100-country_level_data[[#This Row],[waste_treatment_recycling_percent]]</f>
        <v>74.34</v>
      </c>
      <c r="Q13" t="str" cm="1">
        <f t="array" ref="Q13">_xlfn.SWITCH(
    TRUE(),
    J13&gt;=40, "High",
    J13&gt;=20, "Medium",
    J13&lt;20,  "Low"
)</f>
        <v>Medium</v>
      </c>
    </row>
    <row r="14" spans="1:17" x14ac:dyDescent="0.35">
      <c r="A14" t="s">
        <v>47</v>
      </c>
      <c r="B14" t="s">
        <v>26</v>
      </c>
      <c r="C14" t="s">
        <v>48</v>
      </c>
      <c r="D14" t="s">
        <v>28</v>
      </c>
      <c r="E14">
        <v>14853.910159999999</v>
      </c>
      <c r="F14" t="str">
        <f>_xlfn.XLOOKUP(D14, Income_Lookup[income_id], Income_Lookup[income_label])</f>
        <v>Upper-middle income</v>
      </c>
      <c r="G14">
        <v>2930349</v>
      </c>
      <c r="H14">
        <v>56</v>
      </c>
      <c r="I14">
        <v>9649341</v>
      </c>
      <c r="L14">
        <v>100</v>
      </c>
      <c r="O14">
        <f>ROUND(country_level_data[[#This Row],[total_msw_total_msw_generated_tons_year]]*1000/country_level_data[[#This Row],[population_population_number_of_people]],2)</f>
        <v>303.68</v>
      </c>
      <c r="P14">
        <f>100-country_level_data[[#This Row],[waste_treatment_recycling_percent]]</f>
        <v>100</v>
      </c>
      <c r="Q14" t="str" cm="1">
        <f t="array" ref="Q14">_xlfn.SWITCH(
    TRUE(),
    J14&gt;=40, "High",
    J14&gt;=20, "Medium",
    J14&lt;20,  "Low"
)</f>
        <v>Low</v>
      </c>
    </row>
    <row r="15" spans="1:17" x14ac:dyDescent="0.35">
      <c r="A15" t="s">
        <v>49</v>
      </c>
      <c r="B15" t="s">
        <v>22</v>
      </c>
      <c r="C15" t="s">
        <v>50</v>
      </c>
      <c r="D15" t="s">
        <v>20</v>
      </c>
      <c r="E15">
        <v>839.77850339999998</v>
      </c>
      <c r="F15" t="str">
        <f>_xlfn.XLOOKUP(D15, Income_Lookup[income_id], Income_Lookup[income_label])</f>
        <v>Low income</v>
      </c>
      <c r="G15">
        <v>1872016</v>
      </c>
      <c r="I15">
        <v>6741569</v>
      </c>
      <c r="O15">
        <f>ROUND(country_level_data[[#This Row],[total_msw_total_msw_generated_tons_year]]*1000/country_level_data[[#This Row],[population_population_number_of_people]],2)</f>
        <v>277.68</v>
      </c>
      <c r="P15">
        <f>100-country_level_data[[#This Row],[waste_treatment_recycling_percent]]</f>
        <v>100</v>
      </c>
      <c r="Q15" t="str" cm="1">
        <f t="array" ref="Q15">_xlfn.SWITCH(
    TRUE(),
    J15&gt;=40, "High",
    J15&gt;=20, "Medium",
    J15&lt;20,  "Low"
)</f>
        <v>Low</v>
      </c>
    </row>
    <row r="16" spans="1:17" x14ac:dyDescent="0.35">
      <c r="A16" t="s">
        <v>51</v>
      </c>
      <c r="B16" t="s">
        <v>26</v>
      </c>
      <c r="C16" t="s">
        <v>52</v>
      </c>
      <c r="D16" t="s">
        <v>16</v>
      </c>
      <c r="E16">
        <v>51914.914060000003</v>
      </c>
      <c r="F16" t="str">
        <f>_xlfn.XLOOKUP(D16, Income_Lookup[income_id], Income_Lookup[income_label])</f>
        <v>High income</v>
      </c>
      <c r="G16">
        <v>4765883</v>
      </c>
      <c r="I16">
        <v>11484055</v>
      </c>
      <c r="J16">
        <v>34.302999999999997</v>
      </c>
      <c r="M16">
        <v>43.39</v>
      </c>
      <c r="N16">
        <v>19.137</v>
      </c>
      <c r="O16">
        <f>ROUND(country_level_data[[#This Row],[total_msw_total_msw_generated_tons_year]]*1000/country_level_data[[#This Row],[population_population_number_of_people]],2)</f>
        <v>415</v>
      </c>
      <c r="P16">
        <f>100-country_level_data[[#This Row],[waste_treatment_recycling_percent]]</f>
        <v>65.697000000000003</v>
      </c>
      <c r="Q16" t="str" cm="1">
        <f t="array" ref="Q16">_xlfn.SWITCH(
    TRUE(),
    J16&gt;=40, "High",
    J16&gt;=20, "Medium",
    J16&lt;20,  "Low"
)</f>
        <v>Medium</v>
      </c>
    </row>
    <row r="17" spans="1:17" x14ac:dyDescent="0.35">
      <c r="A17" t="s">
        <v>53</v>
      </c>
      <c r="B17" t="s">
        <v>22</v>
      </c>
      <c r="C17" t="s">
        <v>54</v>
      </c>
      <c r="D17" t="s">
        <v>20</v>
      </c>
      <c r="E17">
        <v>2227.3522950000001</v>
      </c>
      <c r="F17" t="str">
        <f>_xlfn.XLOOKUP(D17, Income_Lookup[income_id], Income_Lookup[income_label])</f>
        <v>Low income</v>
      </c>
      <c r="G17">
        <v>685936.01</v>
      </c>
      <c r="I17">
        <v>5521763</v>
      </c>
      <c r="J17">
        <v>25</v>
      </c>
      <c r="O17">
        <f>ROUND(country_level_data[[#This Row],[total_msw_total_msw_generated_tons_year]]*1000/country_level_data[[#This Row],[population_population_number_of_people]],2)</f>
        <v>124.22</v>
      </c>
      <c r="P17">
        <f>100-country_level_data[[#This Row],[waste_treatment_recycling_percent]]</f>
        <v>75</v>
      </c>
      <c r="Q17" t="str" cm="1">
        <f t="array" ref="Q17">_xlfn.SWITCH(
    TRUE(),
    J17&gt;=40, "High",
    J17&gt;=20, "Medium",
    J17&lt;20,  "Low"
)</f>
        <v>Medium</v>
      </c>
    </row>
    <row r="18" spans="1:17" x14ac:dyDescent="0.35">
      <c r="A18" t="s">
        <v>55</v>
      </c>
      <c r="B18" t="s">
        <v>22</v>
      </c>
      <c r="C18" t="s">
        <v>56</v>
      </c>
      <c r="D18" t="s">
        <v>20</v>
      </c>
      <c r="E18">
        <v>1925.331177</v>
      </c>
      <c r="F18" t="str">
        <f>_xlfn.XLOOKUP(D18, Income_Lookup[income_id], Income_Lookup[income_label])</f>
        <v>Low income</v>
      </c>
      <c r="G18">
        <v>2575251.11</v>
      </c>
      <c r="H18">
        <v>9.6</v>
      </c>
      <c r="I18">
        <v>18110624</v>
      </c>
      <c r="J18">
        <v>12</v>
      </c>
      <c r="L18">
        <v>59</v>
      </c>
      <c r="O18">
        <f>ROUND(country_level_data[[#This Row],[total_msw_total_msw_generated_tons_year]]*1000/country_level_data[[#This Row],[population_population_number_of_people]],2)</f>
        <v>142.19999999999999</v>
      </c>
      <c r="P18">
        <f>100-country_level_data[[#This Row],[waste_treatment_recycling_percent]]</f>
        <v>88</v>
      </c>
      <c r="Q18" t="str" cm="1">
        <f t="array" ref="Q18">_xlfn.SWITCH(
    TRUE(),
    J18&gt;=40, "High",
    J18&gt;=20, "Medium",
    J18&lt;20,  "Low"
)</f>
        <v>Low</v>
      </c>
    </row>
    <row r="19" spans="1:17" x14ac:dyDescent="0.35">
      <c r="A19" t="s">
        <v>57</v>
      </c>
      <c r="B19" t="s">
        <v>18</v>
      </c>
      <c r="C19" t="s">
        <v>58</v>
      </c>
      <c r="D19" t="s">
        <v>24</v>
      </c>
      <c r="E19">
        <v>3195.7370609999998</v>
      </c>
      <c r="F19" t="str">
        <f>_xlfn.XLOOKUP(D19, Income_Lookup[income_id], Income_Lookup[income_label])</f>
        <v>Lower-middle income</v>
      </c>
      <c r="G19">
        <v>14778497.33</v>
      </c>
      <c r="I19">
        <v>155727056</v>
      </c>
      <c r="N19">
        <v>5.25</v>
      </c>
      <c r="O19">
        <f>ROUND(country_level_data[[#This Row],[total_msw_total_msw_generated_tons_year]]*1000/country_level_data[[#This Row],[population_population_number_of_people]],2)</f>
        <v>94.9</v>
      </c>
      <c r="P19">
        <f>100-country_level_data[[#This Row],[waste_treatment_recycling_percent]]</f>
        <v>100</v>
      </c>
      <c r="Q19" t="str" cm="1">
        <f t="array" ref="Q19">_xlfn.SWITCH(
    TRUE(),
    J19&gt;=40, "High",
    J19&gt;=20, "Medium",
    J19&lt;20,  "Low"
)</f>
        <v>Low</v>
      </c>
    </row>
    <row r="20" spans="1:17" x14ac:dyDescent="0.35">
      <c r="A20" t="s">
        <v>59</v>
      </c>
      <c r="B20" t="s">
        <v>26</v>
      </c>
      <c r="C20" t="s">
        <v>60</v>
      </c>
      <c r="D20" t="s">
        <v>28</v>
      </c>
      <c r="E20">
        <v>22279.36133</v>
      </c>
      <c r="F20" t="str">
        <f>_xlfn.XLOOKUP(D20, Income_Lookup[income_id], Income_Lookup[income_label])</f>
        <v>Upper-middle income</v>
      </c>
      <c r="G20">
        <v>2859190</v>
      </c>
      <c r="I20">
        <v>7025037</v>
      </c>
      <c r="J20">
        <v>19.03</v>
      </c>
      <c r="M20">
        <v>2.75</v>
      </c>
      <c r="N20">
        <v>10.32</v>
      </c>
      <c r="O20">
        <f>ROUND(country_level_data[[#This Row],[total_msw_total_msw_generated_tons_year]]*1000/country_level_data[[#This Row],[population_population_number_of_people]],2)</f>
        <v>407</v>
      </c>
      <c r="P20">
        <f>100-country_level_data[[#This Row],[waste_treatment_recycling_percent]]</f>
        <v>80.97</v>
      </c>
      <c r="Q20" t="str" cm="1">
        <f t="array" ref="Q20">_xlfn.SWITCH(
    TRUE(),
    J20&gt;=40, "High",
    J20&gt;=20, "Medium",
    J20&lt;20,  "Low"
)</f>
        <v>Low</v>
      </c>
    </row>
    <row r="21" spans="1:17" x14ac:dyDescent="0.35">
      <c r="A21" t="s">
        <v>61</v>
      </c>
      <c r="B21" t="s">
        <v>32</v>
      </c>
      <c r="C21" t="s">
        <v>62</v>
      </c>
      <c r="D21" t="s">
        <v>16</v>
      </c>
      <c r="E21">
        <v>47937.777340000001</v>
      </c>
      <c r="F21" t="str">
        <f>_xlfn.XLOOKUP(D21, Income_Lookup[income_id], Income_Lookup[income_label])</f>
        <v>High income</v>
      </c>
      <c r="G21">
        <v>951942.96950000001</v>
      </c>
      <c r="I21">
        <v>1425171</v>
      </c>
      <c r="J21">
        <v>8</v>
      </c>
      <c r="O21">
        <f>ROUND(country_level_data[[#This Row],[total_msw_total_msw_generated_tons_year]]*1000/country_level_data[[#This Row],[population_population_number_of_people]],2)</f>
        <v>667.95</v>
      </c>
      <c r="P21">
        <f>100-country_level_data[[#This Row],[waste_treatment_recycling_percent]]</f>
        <v>92</v>
      </c>
      <c r="Q21" t="str" cm="1">
        <f t="array" ref="Q21">_xlfn.SWITCH(
    TRUE(),
    J21&gt;=40, "High",
    J21&gt;=20, "Medium",
    J21&lt;20,  "Low"
)</f>
        <v>Low</v>
      </c>
    </row>
    <row r="22" spans="1:17" x14ac:dyDescent="0.35">
      <c r="A22" t="s">
        <v>63</v>
      </c>
      <c r="B22" t="s">
        <v>14</v>
      </c>
      <c r="C22" t="s">
        <v>64</v>
      </c>
      <c r="D22" t="s">
        <v>16</v>
      </c>
      <c r="E22">
        <v>35400.082029999998</v>
      </c>
      <c r="F22" t="str">
        <f>_xlfn.XLOOKUP(D22, Income_Lookup[income_id], Income_Lookup[income_label])</f>
        <v>High income</v>
      </c>
      <c r="G22">
        <v>264000</v>
      </c>
      <c r="I22">
        <v>386838</v>
      </c>
      <c r="O22">
        <f>ROUND(country_level_data[[#This Row],[total_msw_total_msw_generated_tons_year]]*1000/country_level_data[[#This Row],[population_population_number_of_people]],2)</f>
        <v>682.46</v>
      </c>
      <c r="P22">
        <f>100-country_level_data[[#This Row],[waste_treatment_recycling_percent]]</f>
        <v>100</v>
      </c>
      <c r="Q22" t="str" cm="1">
        <f t="array" ref="Q22">_xlfn.SWITCH(
    TRUE(),
    J22&gt;=40, "High",
    J22&gt;=20, "Medium",
    J22&lt;20,  "Low"
)</f>
        <v>Low</v>
      </c>
    </row>
    <row r="23" spans="1:17" x14ac:dyDescent="0.35">
      <c r="A23" t="s">
        <v>65</v>
      </c>
      <c r="B23" t="s">
        <v>26</v>
      </c>
      <c r="C23" t="s">
        <v>66</v>
      </c>
      <c r="D23" t="s">
        <v>28</v>
      </c>
      <c r="E23">
        <v>12671.007809999999</v>
      </c>
      <c r="F23" t="str">
        <f>_xlfn.XLOOKUP(D23, Income_Lookup[income_id], Income_Lookup[income_label])</f>
        <v>Upper-middle income</v>
      </c>
      <c r="G23">
        <v>1248718</v>
      </c>
      <c r="I23">
        <v>3535961</v>
      </c>
      <c r="J23">
        <v>9.7000000000000005E-4</v>
      </c>
      <c r="K23">
        <v>8.5500000000000007</v>
      </c>
      <c r="L23">
        <v>41.75</v>
      </c>
      <c r="O23">
        <f>ROUND(country_level_data[[#This Row],[total_msw_total_msw_generated_tons_year]]*1000/country_level_data[[#This Row],[population_population_number_of_people]],2)</f>
        <v>353.15</v>
      </c>
      <c r="P23">
        <f>100-country_level_data[[#This Row],[waste_treatment_recycling_percent]]</f>
        <v>99.999030000000005</v>
      </c>
      <c r="Q23" t="str" cm="1">
        <f t="array" ref="Q23">_xlfn.SWITCH(
    TRUE(),
    J23&gt;=40, "High",
    J23&gt;=20, "Medium",
    J23&lt;20,  "Low"
)</f>
        <v>Low</v>
      </c>
    </row>
    <row r="24" spans="1:17" x14ac:dyDescent="0.35">
      <c r="A24" t="s">
        <v>67</v>
      </c>
      <c r="B24" t="s">
        <v>26</v>
      </c>
      <c r="C24" t="s">
        <v>68</v>
      </c>
      <c r="D24" t="s">
        <v>28</v>
      </c>
      <c r="E24">
        <v>18307.519530000001</v>
      </c>
      <c r="F24" t="str">
        <f>_xlfn.XLOOKUP(D24, Income_Lookup[income_id], Income_Lookup[income_label])</f>
        <v>Upper-middle income</v>
      </c>
      <c r="G24">
        <v>4280000</v>
      </c>
      <c r="H24">
        <v>93.2</v>
      </c>
      <c r="I24">
        <v>9489616</v>
      </c>
      <c r="J24">
        <v>16</v>
      </c>
      <c r="K24">
        <v>76.900000000000006</v>
      </c>
      <c r="L24">
        <v>7.1</v>
      </c>
      <c r="O24">
        <f>ROUND(country_level_data[[#This Row],[total_msw_total_msw_generated_tons_year]]*1000/country_level_data[[#This Row],[population_population_number_of_people]],2)</f>
        <v>451.02</v>
      </c>
      <c r="P24">
        <f>100-country_level_data[[#This Row],[waste_treatment_recycling_percent]]</f>
        <v>84</v>
      </c>
      <c r="Q24" t="str" cm="1">
        <f t="array" ref="Q24">_xlfn.SWITCH(
    TRUE(),
    J24&gt;=40, "High",
    J24&gt;=20, "Medium",
    J24&lt;20,  "Low"
)</f>
        <v>Low</v>
      </c>
    </row>
    <row r="25" spans="1:17" x14ac:dyDescent="0.35">
      <c r="A25" t="s">
        <v>69</v>
      </c>
      <c r="B25" t="s">
        <v>14</v>
      </c>
      <c r="C25" t="s">
        <v>70</v>
      </c>
      <c r="D25" t="s">
        <v>28</v>
      </c>
      <c r="E25">
        <v>7259.0244140000004</v>
      </c>
      <c r="F25" t="str">
        <f>_xlfn.XLOOKUP(D25, Income_Lookup[income_id], Income_Lookup[income_label])</f>
        <v>Upper-middle income</v>
      </c>
      <c r="G25">
        <v>101378.8303</v>
      </c>
      <c r="H25">
        <v>85.2</v>
      </c>
      <c r="I25">
        <v>359288</v>
      </c>
      <c r="L25">
        <v>66</v>
      </c>
      <c r="O25">
        <f>ROUND(country_level_data[[#This Row],[total_msw_total_msw_generated_tons_year]]*1000/country_level_data[[#This Row],[population_population_number_of_people]],2)</f>
        <v>282.17</v>
      </c>
      <c r="P25">
        <f>100-country_level_data[[#This Row],[waste_treatment_recycling_percent]]</f>
        <v>100</v>
      </c>
      <c r="Q25" t="str" cm="1">
        <f t="array" ref="Q25">_xlfn.SWITCH(
    TRUE(),
    J25&gt;=40, "High",
    J25&gt;=20, "Medium",
    J25&lt;20,  "Low"
)</f>
        <v>Low</v>
      </c>
    </row>
    <row r="26" spans="1:17" x14ac:dyDescent="0.35">
      <c r="A26" t="s">
        <v>71</v>
      </c>
      <c r="B26" t="s">
        <v>72</v>
      </c>
      <c r="C26" t="s">
        <v>73</v>
      </c>
      <c r="D26" t="s">
        <v>16</v>
      </c>
      <c r="E26">
        <v>80982.367190000004</v>
      </c>
      <c r="F26" t="str">
        <f>_xlfn.XLOOKUP(D26, Income_Lookup[income_id], Income_Lookup[income_label])</f>
        <v>High income</v>
      </c>
      <c r="G26">
        <v>82000</v>
      </c>
      <c r="H26">
        <v>100</v>
      </c>
      <c r="I26">
        <v>64798</v>
      </c>
      <c r="J26">
        <v>2</v>
      </c>
      <c r="K26">
        <v>12.2</v>
      </c>
      <c r="M26">
        <v>67.599999999999994</v>
      </c>
      <c r="N26">
        <v>18.3</v>
      </c>
      <c r="O26">
        <f>ROUND(country_level_data[[#This Row],[total_msw_total_msw_generated_tons_year]]*1000/country_level_data[[#This Row],[population_population_number_of_people]],2)</f>
        <v>1265.47</v>
      </c>
      <c r="P26">
        <f>100-country_level_data[[#This Row],[waste_treatment_recycling_percent]]</f>
        <v>98</v>
      </c>
      <c r="Q26" t="str" cm="1">
        <f t="array" ref="Q26">_xlfn.SWITCH(
    TRUE(),
    J26&gt;=40, "High",
    J26&gt;=20, "Medium",
    J26&lt;20,  "Low"
)</f>
        <v>Low</v>
      </c>
    </row>
    <row r="27" spans="1:17" x14ac:dyDescent="0.35">
      <c r="A27" t="s">
        <v>74</v>
      </c>
      <c r="B27" t="s">
        <v>14</v>
      </c>
      <c r="C27" t="s">
        <v>75</v>
      </c>
      <c r="D27" t="s">
        <v>24</v>
      </c>
      <c r="E27">
        <v>7984.4135740000002</v>
      </c>
      <c r="F27" t="str">
        <f>_xlfn.XLOOKUP(D27, Income_Lookup[income_id], Income_Lookup[income_label])</f>
        <v>Lower-middle income</v>
      </c>
      <c r="G27">
        <v>2219052</v>
      </c>
      <c r="H27">
        <v>57.6</v>
      </c>
      <c r="I27">
        <v>10724705</v>
      </c>
      <c r="J27">
        <v>12.11</v>
      </c>
      <c r="K27">
        <v>0.04</v>
      </c>
      <c r="L27">
        <v>55.52</v>
      </c>
      <c r="N27">
        <v>0.4</v>
      </c>
      <c r="O27">
        <f>ROUND(country_level_data[[#This Row],[total_msw_total_msw_generated_tons_year]]*1000/country_level_data[[#This Row],[population_population_number_of_people]],2)</f>
        <v>206.91</v>
      </c>
      <c r="P27">
        <f>100-country_level_data[[#This Row],[waste_treatment_recycling_percent]]</f>
        <v>87.89</v>
      </c>
      <c r="Q27" t="str" cm="1">
        <f t="array" ref="Q27">_xlfn.SWITCH(
    TRUE(),
    J27&gt;=40, "High",
    J27&gt;=20, "Medium",
    J27&lt;20,  "Low"
)</f>
        <v>Low</v>
      </c>
    </row>
    <row r="28" spans="1:17" x14ac:dyDescent="0.35">
      <c r="A28" t="s">
        <v>76</v>
      </c>
      <c r="B28" t="s">
        <v>14</v>
      </c>
      <c r="C28" t="s">
        <v>77</v>
      </c>
      <c r="D28" t="s">
        <v>28</v>
      </c>
      <c r="E28">
        <v>14596.246090000001</v>
      </c>
      <c r="F28" t="str">
        <f>_xlfn.XLOOKUP(D28, Income_Lookup[income_id], Income_Lookup[income_label])</f>
        <v>Upper-middle income</v>
      </c>
      <c r="G28">
        <v>79069584</v>
      </c>
      <c r="H28">
        <v>91.3</v>
      </c>
      <c r="I28">
        <v>208494896</v>
      </c>
      <c r="J28">
        <v>1.4</v>
      </c>
      <c r="K28">
        <v>21.885210000000001</v>
      </c>
      <c r="L28">
        <v>15.61932</v>
      </c>
      <c r="N28">
        <v>0.2</v>
      </c>
      <c r="O28">
        <f>ROUND(country_level_data[[#This Row],[total_msw_total_msw_generated_tons_year]]*1000/country_level_data[[#This Row],[population_population_number_of_people]],2)</f>
        <v>379.24</v>
      </c>
      <c r="P28">
        <f>100-country_level_data[[#This Row],[waste_treatment_recycling_percent]]</f>
        <v>98.6</v>
      </c>
      <c r="Q28" t="str" cm="1">
        <f t="array" ref="Q28">_xlfn.SWITCH(
    TRUE(),
    J28&gt;=40, "High",
    J28&gt;=20, "Medium",
    J28&lt;20,  "Low"
)</f>
        <v>Low</v>
      </c>
    </row>
    <row r="29" spans="1:17" x14ac:dyDescent="0.35">
      <c r="A29" t="s">
        <v>78</v>
      </c>
      <c r="B29" t="s">
        <v>14</v>
      </c>
      <c r="C29" t="s">
        <v>79</v>
      </c>
      <c r="D29" t="s">
        <v>16</v>
      </c>
      <c r="E29">
        <v>15444.746090000001</v>
      </c>
      <c r="F29" t="str">
        <f>_xlfn.XLOOKUP(D29, Income_Lookup[income_id], Income_Lookup[income_label])</f>
        <v>High income</v>
      </c>
      <c r="G29">
        <v>174815.44440000001</v>
      </c>
      <c r="H29">
        <v>90</v>
      </c>
      <c r="I29">
        <v>280601</v>
      </c>
      <c r="J29">
        <v>9</v>
      </c>
      <c r="K29">
        <v>90</v>
      </c>
      <c r="O29">
        <f>ROUND(country_level_data[[#This Row],[total_msw_total_msw_generated_tons_year]]*1000/country_level_data[[#This Row],[population_population_number_of_people]],2)</f>
        <v>623</v>
      </c>
      <c r="P29">
        <f>100-country_level_data[[#This Row],[waste_treatment_recycling_percent]]</f>
        <v>91</v>
      </c>
      <c r="Q29" t="str" cm="1">
        <f t="array" ref="Q29">_xlfn.SWITCH(
    TRUE(),
    J29&gt;=40, "High",
    J29&gt;=20, "Medium",
    J29&lt;20,  "Low"
)</f>
        <v>Low</v>
      </c>
    </row>
    <row r="30" spans="1:17" x14ac:dyDescent="0.35">
      <c r="A30" t="s">
        <v>80</v>
      </c>
      <c r="B30" t="s">
        <v>39</v>
      </c>
      <c r="C30" t="s">
        <v>81</v>
      </c>
      <c r="D30" t="s">
        <v>16</v>
      </c>
      <c r="E30">
        <v>60865.988279999998</v>
      </c>
      <c r="F30" t="str">
        <f>_xlfn.XLOOKUP(D30, Income_Lookup[income_id], Income_Lookup[income_label])</f>
        <v>High income</v>
      </c>
      <c r="G30">
        <v>216253.15599999999</v>
      </c>
      <c r="I30">
        <v>423196</v>
      </c>
      <c r="N30">
        <v>2</v>
      </c>
      <c r="O30">
        <f>ROUND(country_level_data[[#This Row],[total_msw_total_msw_generated_tons_year]]*1000/country_level_data[[#This Row],[population_population_number_of_people]],2)</f>
        <v>511</v>
      </c>
      <c r="P30">
        <f>100-country_level_data[[#This Row],[waste_treatment_recycling_percent]]</f>
        <v>100</v>
      </c>
      <c r="Q30" t="str" cm="1">
        <f t="array" ref="Q30">_xlfn.SWITCH(
    TRUE(),
    J30&gt;=40, "High",
    J30&gt;=20, "Medium",
    J30&lt;20,  "Low"
)</f>
        <v>Low</v>
      </c>
    </row>
    <row r="31" spans="1:17" x14ac:dyDescent="0.35">
      <c r="A31" t="s">
        <v>82</v>
      </c>
      <c r="B31" t="s">
        <v>18</v>
      </c>
      <c r="C31" t="s">
        <v>83</v>
      </c>
      <c r="D31" t="s">
        <v>24</v>
      </c>
      <c r="E31">
        <v>6743.0161129999997</v>
      </c>
      <c r="F31" t="str">
        <f>_xlfn.XLOOKUP(D31, Income_Lookup[income_id], Income_Lookup[income_label])</f>
        <v>Lower-middle income</v>
      </c>
      <c r="G31">
        <v>111314.05</v>
      </c>
      <c r="I31">
        <v>686958</v>
      </c>
      <c r="J31">
        <v>0.86</v>
      </c>
      <c r="K31">
        <v>98</v>
      </c>
      <c r="N31">
        <v>1.39</v>
      </c>
      <c r="O31">
        <f>ROUND(country_level_data[[#This Row],[total_msw_total_msw_generated_tons_year]]*1000/country_level_data[[#This Row],[population_population_number_of_people]],2)</f>
        <v>162.04</v>
      </c>
      <c r="P31">
        <f>100-country_level_data[[#This Row],[waste_treatment_recycling_percent]]</f>
        <v>99.14</v>
      </c>
      <c r="Q31" t="str" cm="1">
        <f t="array" ref="Q31">_xlfn.SWITCH(
    TRUE(),
    J31&gt;=40, "High",
    J31&gt;=20, "Medium",
    J31&lt;20,  "Low"
)</f>
        <v>Low</v>
      </c>
    </row>
    <row r="32" spans="1:17" x14ac:dyDescent="0.35">
      <c r="A32" t="s">
        <v>84</v>
      </c>
      <c r="B32" t="s">
        <v>22</v>
      </c>
      <c r="C32" t="s">
        <v>85</v>
      </c>
      <c r="D32" t="s">
        <v>28</v>
      </c>
      <c r="E32">
        <v>14126.389649999999</v>
      </c>
      <c r="F32" t="str">
        <f>_xlfn.XLOOKUP(D32, Income_Lookup[income_id], Income_Lookup[income_label])</f>
        <v>Upper-middle income</v>
      </c>
      <c r="G32">
        <v>210854.44260000001</v>
      </c>
      <c r="I32">
        <v>2014866</v>
      </c>
      <c r="J32">
        <v>1</v>
      </c>
      <c r="O32">
        <f>ROUND(country_level_data[[#This Row],[total_msw_total_msw_generated_tons_year]]*1000/country_level_data[[#This Row],[population_population_number_of_people]],2)</f>
        <v>104.65</v>
      </c>
      <c r="P32">
        <f>100-country_level_data[[#This Row],[waste_treatment_recycling_percent]]</f>
        <v>99</v>
      </c>
      <c r="Q32" t="str" cm="1">
        <f t="array" ref="Q32">_xlfn.SWITCH(
    TRUE(),
    J32&gt;=40, "High",
    J32&gt;=20, "Medium",
    J32&lt;20,  "Low"
)</f>
        <v>Low</v>
      </c>
    </row>
    <row r="33" spans="1:17" x14ac:dyDescent="0.35">
      <c r="A33" t="s">
        <v>86</v>
      </c>
      <c r="B33" t="s">
        <v>22</v>
      </c>
      <c r="C33" t="s">
        <v>87</v>
      </c>
      <c r="D33" t="s">
        <v>20</v>
      </c>
      <c r="E33">
        <v>822.61047359999998</v>
      </c>
      <c r="F33" t="str">
        <f>_xlfn.XLOOKUP(D33, Income_Lookup[income_id], Income_Lookup[income_label])</f>
        <v>Low income</v>
      </c>
      <c r="G33">
        <v>1105983</v>
      </c>
      <c r="I33">
        <v>4515392</v>
      </c>
      <c r="O33">
        <f>ROUND(country_level_data[[#This Row],[total_msw_total_msw_generated_tons_year]]*1000/country_level_data[[#This Row],[population_population_number_of_people]],2)</f>
        <v>244.94</v>
      </c>
      <c r="P33">
        <f>100-country_level_data[[#This Row],[waste_treatment_recycling_percent]]</f>
        <v>100</v>
      </c>
      <c r="Q33" t="str" cm="1">
        <f t="array" ref="Q33">_xlfn.SWITCH(
    TRUE(),
    J33&gt;=40, "High",
    J33&gt;=20, "Medium",
    J33&lt;20,  "Low"
)</f>
        <v>Low</v>
      </c>
    </row>
    <row r="34" spans="1:17" x14ac:dyDescent="0.35">
      <c r="A34" t="s">
        <v>88</v>
      </c>
      <c r="B34" t="s">
        <v>72</v>
      </c>
      <c r="C34" t="s">
        <v>89</v>
      </c>
      <c r="D34" t="s">
        <v>16</v>
      </c>
      <c r="E34">
        <v>47672.078130000002</v>
      </c>
      <c r="F34" t="str">
        <f>_xlfn.XLOOKUP(D34, Income_Lookup[income_id], Income_Lookup[income_label])</f>
        <v>High income</v>
      </c>
      <c r="G34">
        <v>25103034</v>
      </c>
      <c r="H34">
        <v>99</v>
      </c>
      <c r="I34">
        <v>35544564</v>
      </c>
      <c r="J34">
        <v>20.59</v>
      </c>
      <c r="M34">
        <v>3</v>
      </c>
      <c r="N34">
        <v>4.08</v>
      </c>
      <c r="O34">
        <f>ROUND(country_level_data[[#This Row],[total_msw_total_msw_generated_tons_year]]*1000/country_level_data[[#This Row],[population_population_number_of_people]],2)</f>
        <v>706.24</v>
      </c>
      <c r="P34">
        <f>100-country_level_data[[#This Row],[waste_treatment_recycling_percent]]</f>
        <v>79.41</v>
      </c>
      <c r="Q34" t="str" cm="1">
        <f t="array" ref="Q34">_xlfn.SWITCH(
    TRUE(),
    J34&gt;=40, "High",
    J34&gt;=20, "Medium",
    J34&lt;20,  "Low"
)</f>
        <v>Medium</v>
      </c>
    </row>
    <row r="35" spans="1:17" x14ac:dyDescent="0.35">
      <c r="A35" t="s">
        <v>90</v>
      </c>
      <c r="B35" t="s">
        <v>26</v>
      </c>
      <c r="C35" t="s">
        <v>91</v>
      </c>
      <c r="D35" t="s">
        <v>16</v>
      </c>
      <c r="E35">
        <v>68394.289059999996</v>
      </c>
      <c r="F35" t="str">
        <f>_xlfn.XLOOKUP(D35, Income_Lookup[income_id], Income_Lookup[income_label])</f>
        <v>High income</v>
      </c>
      <c r="G35">
        <v>6079556</v>
      </c>
      <c r="H35">
        <v>99</v>
      </c>
      <c r="I35">
        <v>8574832</v>
      </c>
      <c r="J35">
        <v>32</v>
      </c>
      <c r="M35">
        <v>47</v>
      </c>
      <c r="N35">
        <v>21</v>
      </c>
      <c r="O35">
        <f>ROUND(country_level_data[[#This Row],[total_msw_total_msw_generated_tons_year]]*1000/country_level_data[[#This Row],[population_population_number_of_people]],2)</f>
        <v>709</v>
      </c>
      <c r="P35">
        <f>100-country_level_data[[#This Row],[waste_treatment_recycling_percent]]</f>
        <v>68</v>
      </c>
      <c r="Q35" t="str" cm="1">
        <f t="array" ref="Q35">_xlfn.SWITCH(
    TRUE(),
    J35&gt;=40, "High",
    J35&gt;=20, "Medium",
    J35&lt;20,  "Low"
)</f>
        <v>Medium</v>
      </c>
    </row>
    <row r="36" spans="1:17" x14ac:dyDescent="0.35">
      <c r="A36" t="s">
        <v>92</v>
      </c>
      <c r="B36" t="s">
        <v>26</v>
      </c>
      <c r="C36" t="s">
        <v>93</v>
      </c>
      <c r="D36" t="s">
        <v>16</v>
      </c>
      <c r="E36">
        <v>46672.59375</v>
      </c>
      <c r="F36" t="str">
        <f>_xlfn.XLOOKUP(D36, Income_Lookup[income_id], Income_Lookup[income_label])</f>
        <v>High income</v>
      </c>
      <c r="G36">
        <v>178933</v>
      </c>
      <c r="I36">
        <v>164541</v>
      </c>
      <c r="J36">
        <v>28.430202309999999</v>
      </c>
      <c r="K36">
        <v>39.218063579999999</v>
      </c>
      <c r="M36">
        <v>16.44190751</v>
      </c>
      <c r="N36">
        <v>15.90982659</v>
      </c>
      <c r="O36">
        <f>ROUND(country_level_data[[#This Row],[total_msw_total_msw_generated_tons_year]]*1000/country_level_data[[#This Row],[population_population_number_of_people]],2)</f>
        <v>1087.47</v>
      </c>
      <c r="P36">
        <f>100-country_level_data[[#This Row],[waste_treatment_recycling_percent]]</f>
        <v>71.569797690000001</v>
      </c>
      <c r="Q36" t="str" cm="1">
        <f t="array" ref="Q36">_xlfn.SWITCH(
    TRUE(),
    J36&gt;=40, "High",
    J36&gt;=20, "Medium",
    J36&lt;20,  "Low"
)</f>
        <v>Medium</v>
      </c>
    </row>
    <row r="37" spans="1:17" x14ac:dyDescent="0.35">
      <c r="A37" t="s">
        <v>94</v>
      </c>
      <c r="B37" t="s">
        <v>14</v>
      </c>
      <c r="C37" t="s">
        <v>95</v>
      </c>
      <c r="D37" t="s">
        <v>16</v>
      </c>
      <c r="E37">
        <v>20361.714840000001</v>
      </c>
      <c r="F37" t="str">
        <f>_xlfn.XLOOKUP(D37, Income_Lookup[income_id], Income_Lookup[income_label])</f>
        <v>High income</v>
      </c>
      <c r="G37">
        <v>6517000</v>
      </c>
      <c r="I37">
        <v>16829442</v>
      </c>
      <c r="J37">
        <v>0.37</v>
      </c>
      <c r="K37">
        <v>85.25</v>
      </c>
      <c r="L37">
        <v>8.43</v>
      </c>
      <c r="M37">
        <v>0.14000000000000001</v>
      </c>
      <c r="N37">
        <v>0.44</v>
      </c>
      <c r="O37">
        <f>ROUND(country_level_data[[#This Row],[total_msw_total_msw_generated_tons_year]]*1000/country_level_data[[#This Row],[population_population_number_of_people]],2)</f>
        <v>387.24</v>
      </c>
      <c r="P37">
        <f>100-country_level_data[[#This Row],[waste_treatment_recycling_percent]]</f>
        <v>99.63</v>
      </c>
      <c r="Q37" t="str" cm="1">
        <f t="array" ref="Q37">_xlfn.SWITCH(
    TRUE(),
    J37&gt;=40, "High",
    J37&gt;=20, "Medium",
    J37&lt;20,  "Low"
)</f>
        <v>Low</v>
      </c>
    </row>
    <row r="38" spans="1:17" x14ac:dyDescent="0.35">
      <c r="A38" t="s">
        <v>96</v>
      </c>
      <c r="B38" t="s">
        <v>39</v>
      </c>
      <c r="C38" t="s">
        <v>97</v>
      </c>
      <c r="D38" t="s">
        <v>28</v>
      </c>
      <c r="E38">
        <v>16092.30078</v>
      </c>
      <c r="F38" t="str">
        <f>_xlfn.XLOOKUP(D38, Income_Lookup[income_id], Income_Lookup[income_label])</f>
        <v>Upper-middle income</v>
      </c>
      <c r="G38">
        <v>395081376</v>
      </c>
      <c r="H38">
        <v>94</v>
      </c>
      <c r="I38">
        <v>1400050048</v>
      </c>
      <c r="L38">
        <v>8.2100000000000009</v>
      </c>
      <c r="M38">
        <v>29.84</v>
      </c>
      <c r="N38">
        <v>3</v>
      </c>
      <c r="O38">
        <f>ROUND(country_level_data[[#This Row],[total_msw_total_msw_generated_tons_year]]*1000/country_level_data[[#This Row],[population_population_number_of_people]],2)</f>
        <v>282.19</v>
      </c>
      <c r="P38">
        <f>100-country_level_data[[#This Row],[waste_treatment_recycling_percent]]</f>
        <v>100</v>
      </c>
      <c r="Q38" t="str" cm="1">
        <f t="array" ref="Q38">_xlfn.SWITCH(
    TRUE(),
    J38&gt;=40, "High",
    J38&gt;=20, "Medium",
    J38&lt;20,  "Low"
)</f>
        <v>Low</v>
      </c>
    </row>
    <row r="39" spans="1:17" x14ac:dyDescent="0.35">
      <c r="A39" t="s">
        <v>98</v>
      </c>
      <c r="B39" t="s">
        <v>22</v>
      </c>
      <c r="C39" t="s">
        <v>99</v>
      </c>
      <c r="D39" t="s">
        <v>24</v>
      </c>
      <c r="E39">
        <v>3660.9028320000002</v>
      </c>
      <c r="F39" t="str">
        <f>_xlfn.XLOOKUP(D39, Income_Lookup[income_id], Income_Lookup[income_label])</f>
        <v>Lower-middle income</v>
      </c>
      <c r="G39">
        <v>4440814.2699999996</v>
      </c>
      <c r="I39">
        <v>20401332</v>
      </c>
      <c r="J39">
        <v>3</v>
      </c>
      <c r="O39">
        <f>ROUND(country_level_data[[#This Row],[total_msw_total_msw_generated_tons_year]]*1000/country_level_data[[#This Row],[population_population_number_of_people]],2)</f>
        <v>217.67</v>
      </c>
      <c r="P39">
        <f>100-country_level_data[[#This Row],[waste_treatment_recycling_percent]]</f>
        <v>97</v>
      </c>
      <c r="Q39" t="str" cm="1">
        <f t="array" ref="Q39">_xlfn.SWITCH(
    TRUE(),
    J39&gt;=40, "High",
    J39&gt;=20, "Medium",
    J39&lt;20,  "Low"
)</f>
        <v>Low</v>
      </c>
    </row>
    <row r="40" spans="1:17" x14ac:dyDescent="0.35">
      <c r="A40" t="s">
        <v>100</v>
      </c>
      <c r="B40" t="s">
        <v>22</v>
      </c>
      <c r="C40" t="s">
        <v>101</v>
      </c>
      <c r="D40" t="s">
        <v>24</v>
      </c>
      <c r="E40">
        <v>3262.763672</v>
      </c>
      <c r="F40" t="str">
        <f>_xlfn.XLOOKUP(D40, Income_Lookup[income_id], Income_Lookup[income_label])</f>
        <v>Lower-middle income</v>
      </c>
      <c r="G40">
        <v>3270616.59</v>
      </c>
      <c r="H40">
        <v>61.6</v>
      </c>
      <c r="I40">
        <v>21655716</v>
      </c>
      <c r="J40">
        <v>0.4</v>
      </c>
      <c r="L40">
        <v>80.3</v>
      </c>
      <c r="O40">
        <f>ROUND(country_level_data[[#This Row],[total_msw_total_msw_generated_tons_year]]*1000/country_level_data[[#This Row],[population_population_number_of_people]],2)</f>
        <v>151.03</v>
      </c>
      <c r="P40">
        <f>100-country_level_data[[#This Row],[waste_treatment_recycling_percent]]</f>
        <v>99.6</v>
      </c>
      <c r="Q40" t="str" cm="1">
        <f t="array" ref="Q40">_xlfn.SWITCH(
    TRUE(),
    J40&gt;=40, "High",
    J40&gt;=20, "Medium",
    J40&lt;20,  "Low"
)</f>
        <v>Low</v>
      </c>
    </row>
    <row r="41" spans="1:17" x14ac:dyDescent="0.35">
      <c r="A41" t="s">
        <v>102</v>
      </c>
      <c r="B41" t="s">
        <v>22</v>
      </c>
      <c r="C41" t="s">
        <v>103</v>
      </c>
      <c r="D41" t="s">
        <v>20</v>
      </c>
      <c r="E41">
        <v>1055.5729980000001</v>
      </c>
      <c r="F41" t="str">
        <f>_xlfn.XLOOKUP(D41, Income_Lookup[income_id], Income_Lookup[income_label])</f>
        <v>Low income</v>
      </c>
      <c r="G41">
        <v>14385226.02</v>
      </c>
      <c r="I41">
        <v>78736152</v>
      </c>
      <c r="J41">
        <v>4.9000000000000004</v>
      </c>
      <c r="O41">
        <f>ROUND(country_level_data[[#This Row],[total_msw_total_msw_generated_tons_year]]*1000/country_level_data[[#This Row],[population_population_number_of_people]],2)</f>
        <v>182.7</v>
      </c>
      <c r="P41">
        <f>100-country_level_data[[#This Row],[waste_treatment_recycling_percent]]</f>
        <v>95.1</v>
      </c>
      <c r="Q41" t="str" cm="1">
        <f t="array" ref="Q41">_xlfn.SWITCH(
    TRUE(),
    J41&gt;=40, "High",
    J41&gt;=20, "Medium",
    J41&lt;20,  "Low"
)</f>
        <v>Low</v>
      </c>
    </row>
    <row r="42" spans="1:17" x14ac:dyDescent="0.35">
      <c r="A42" t="s">
        <v>104</v>
      </c>
      <c r="B42" t="s">
        <v>22</v>
      </c>
      <c r="C42" t="s">
        <v>105</v>
      </c>
      <c r="D42" t="s">
        <v>24</v>
      </c>
      <c r="E42">
        <v>4899.5795900000003</v>
      </c>
      <c r="F42" t="str">
        <f>_xlfn.XLOOKUP(D42, Income_Lookup[income_id], Income_Lookup[income_label])</f>
        <v>Lower-middle income</v>
      </c>
      <c r="G42">
        <v>451200</v>
      </c>
      <c r="I42">
        <v>2648507</v>
      </c>
      <c r="J42">
        <v>26.2</v>
      </c>
      <c r="O42">
        <f>ROUND(country_level_data[[#This Row],[total_msw_total_msw_generated_tons_year]]*1000/country_level_data[[#This Row],[population_population_number_of_people]],2)</f>
        <v>170.36</v>
      </c>
      <c r="P42">
        <f>100-country_level_data[[#This Row],[waste_treatment_recycling_percent]]</f>
        <v>73.8</v>
      </c>
      <c r="Q42" t="str" cm="1">
        <f t="array" ref="Q42">_xlfn.SWITCH(
    TRUE(),
    J42&gt;=40, "High",
    J42&gt;=20, "Medium",
    J42&lt;20,  "Low"
)</f>
        <v>Medium</v>
      </c>
    </row>
    <row r="43" spans="1:17" x14ac:dyDescent="0.35">
      <c r="A43" t="s">
        <v>106</v>
      </c>
      <c r="B43" t="s">
        <v>14</v>
      </c>
      <c r="C43" t="s">
        <v>107</v>
      </c>
      <c r="D43" t="s">
        <v>28</v>
      </c>
      <c r="E43">
        <v>12523.00684</v>
      </c>
      <c r="F43" t="str">
        <f>_xlfn.XLOOKUP(D43, Income_Lookup[income_id], Income_Lookup[income_label])</f>
        <v>Upper-middle income</v>
      </c>
      <c r="G43">
        <v>12150120</v>
      </c>
      <c r="H43">
        <v>80.599999999999994</v>
      </c>
      <c r="I43">
        <v>46406648</v>
      </c>
      <c r="J43">
        <v>17.2</v>
      </c>
      <c r="L43">
        <v>4</v>
      </c>
      <c r="O43">
        <f>ROUND(country_level_data[[#This Row],[total_msw_total_msw_generated_tons_year]]*1000/country_level_data[[#This Row],[population_population_number_of_people]],2)</f>
        <v>261.82</v>
      </c>
      <c r="P43">
        <f>100-country_level_data[[#This Row],[waste_treatment_recycling_percent]]</f>
        <v>82.8</v>
      </c>
      <c r="Q43" t="str" cm="1">
        <f t="array" ref="Q43">_xlfn.SWITCH(
    TRUE(),
    J43&gt;=40, "High",
    J43&gt;=20, "Medium",
    J43&lt;20,  "Low"
)</f>
        <v>Low</v>
      </c>
    </row>
    <row r="44" spans="1:17" x14ac:dyDescent="0.35">
      <c r="A44" t="s">
        <v>108</v>
      </c>
      <c r="B44" t="s">
        <v>22</v>
      </c>
      <c r="C44" t="s">
        <v>109</v>
      </c>
      <c r="D44" t="s">
        <v>20</v>
      </c>
      <c r="E44">
        <v>2959.540039</v>
      </c>
      <c r="F44" t="str">
        <f>_xlfn.XLOOKUP(D44, Income_Lookup[income_id], Income_Lookup[income_label])</f>
        <v>Low income</v>
      </c>
      <c r="G44">
        <v>91013</v>
      </c>
      <c r="I44">
        <v>777424</v>
      </c>
      <c r="O44">
        <f>ROUND(country_level_data[[#This Row],[total_msw_total_msw_generated_tons_year]]*1000/country_level_data[[#This Row],[population_population_number_of_people]],2)</f>
        <v>117.07</v>
      </c>
      <c r="P44">
        <f>100-country_level_data[[#This Row],[waste_treatment_recycling_percent]]</f>
        <v>100</v>
      </c>
      <c r="Q44" t="str" cm="1">
        <f t="array" ref="Q44">_xlfn.SWITCH(
    TRUE(),
    J44&gt;=40, "High",
    J44&gt;=20, "Medium",
    J44&lt;20,  "Low"
)</f>
        <v>Low</v>
      </c>
    </row>
    <row r="45" spans="1:17" x14ac:dyDescent="0.35">
      <c r="A45" t="s">
        <v>110</v>
      </c>
      <c r="B45" t="s">
        <v>22</v>
      </c>
      <c r="C45" t="s">
        <v>111</v>
      </c>
      <c r="D45" t="s">
        <v>24</v>
      </c>
      <c r="E45">
        <v>6353.783203</v>
      </c>
      <c r="F45" t="str">
        <f>_xlfn.XLOOKUP(D45, Income_Lookup[income_id], Income_Lookup[income_label])</f>
        <v>Lower-middle income</v>
      </c>
      <c r="G45">
        <v>132555</v>
      </c>
      <c r="H45">
        <v>70.599999999999994</v>
      </c>
      <c r="I45">
        <v>513979</v>
      </c>
      <c r="O45">
        <f>ROUND(country_level_data[[#This Row],[total_msw_total_msw_generated_tons_year]]*1000/country_level_data[[#This Row],[population_population_number_of_people]],2)</f>
        <v>257.89999999999998</v>
      </c>
      <c r="P45">
        <f>100-country_level_data[[#This Row],[waste_treatment_recycling_percent]]</f>
        <v>100</v>
      </c>
      <c r="Q45" t="str" cm="1">
        <f t="array" ref="Q45">_xlfn.SWITCH(
    TRUE(),
    J45&gt;=40, "High",
    J45&gt;=20, "Medium",
    J45&lt;20,  "Low"
)</f>
        <v>Low</v>
      </c>
    </row>
    <row r="46" spans="1:17" x14ac:dyDescent="0.35">
      <c r="A46" t="s">
        <v>112</v>
      </c>
      <c r="B46" t="s">
        <v>14</v>
      </c>
      <c r="C46" t="s">
        <v>113</v>
      </c>
      <c r="D46" t="s">
        <v>28</v>
      </c>
      <c r="E46">
        <v>18168.714840000001</v>
      </c>
      <c r="F46" t="str">
        <f>_xlfn.XLOOKUP(D46, Income_Lookup[income_id], Income_Lookup[income_label])</f>
        <v>Upper-middle income</v>
      </c>
      <c r="G46">
        <v>1460000</v>
      </c>
      <c r="H46">
        <v>90.4</v>
      </c>
      <c r="I46">
        <v>4757575</v>
      </c>
      <c r="J46">
        <v>1.26</v>
      </c>
      <c r="K46">
        <v>23.5</v>
      </c>
      <c r="L46">
        <v>9.1</v>
      </c>
      <c r="O46">
        <f>ROUND(country_level_data[[#This Row],[total_msw_total_msw_generated_tons_year]]*1000/country_level_data[[#This Row],[population_population_number_of_people]],2)</f>
        <v>306.88</v>
      </c>
      <c r="P46">
        <f>100-country_level_data[[#This Row],[waste_treatment_recycling_percent]]</f>
        <v>98.74</v>
      </c>
      <c r="Q46" t="str" cm="1">
        <f t="array" ref="Q46">_xlfn.SWITCH(
    TRUE(),
    J46&gt;=40, "High",
    J46&gt;=20, "Medium",
    J46&lt;20,  "Low"
)</f>
        <v>Low</v>
      </c>
    </row>
    <row r="47" spans="1:17" x14ac:dyDescent="0.35">
      <c r="A47" t="s">
        <v>114</v>
      </c>
      <c r="B47" t="s">
        <v>14</v>
      </c>
      <c r="C47" t="s">
        <v>115</v>
      </c>
      <c r="D47" t="s">
        <v>28</v>
      </c>
      <c r="E47">
        <v>12984.710940000001</v>
      </c>
      <c r="F47" t="str">
        <f>_xlfn.XLOOKUP(D47, Income_Lookup[income_id], Income_Lookup[income_label])</f>
        <v>Upper-middle income</v>
      </c>
      <c r="G47">
        <v>2692691.98</v>
      </c>
      <c r="H47">
        <v>76.900000000000006</v>
      </c>
      <c r="I47">
        <v>11303687</v>
      </c>
      <c r="J47">
        <v>9.49</v>
      </c>
      <c r="K47">
        <v>30.68</v>
      </c>
      <c r="L47">
        <v>42.23</v>
      </c>
      <c r="O47">
        <f>ROUND(country_level_data[[#This Row],[total_msw_total_msw_generated_tons_year]]*1000/country_level_data[[#This Row],[population_population_number_of_people]],2)</f>
        <v>238.21</v>
      </c>
      <c r="P47">
        <f>100-country_level_data[[#This Row],[waste_treatment_recycling_percent]]</f>
        <v>90.51</v>
      </c>
      <c r="Q47" t="str" cm="1">
        <f t="array" ref="Q47">_xlfn.SWITCH(
    TRUE(),
    J47&gt;=40, "High",
    J47&gt;=20, "Medium",
    J47&lt;20,  "Low"
)</f>
        <v>Low</v>
      </c>
    </row>
    <row r="48" spans="1:17" x14ac:dyDescent="0.35">
      <c r="A48" t="s">
        <v>116</v>
      </c>
      <c r="B48" t="s">
        <v>14</v>
      </c>
      <c r="C48" t="s">
        <v>117</v>
      </c>
      <c r="D48" t="s">
        <v>16</v>
      </c>
      <c r="E48">
        <v>27503.789059999999</v>
      </c>
      <c r="F48" t="str">
        <f>_xlfn.XLOOKUP(D48, Income_Lookup[income_id], Income_Lookup[income_label])</f>
        <v>High income</v>
      </c>
      <c r="G48">
        <v>24703.813200000001</v>
      </c>
      <c r="I48">
        <v>153822</v>
      </c>
      <c r="J48">
        <v>2</v>
      </c>
      <c r="O48">
        <f>ROUND(country_level_data[[#This Row],[total_msw_total_msw_generated_tons_year]]*1000/country_level_data[[#This Row],[population_population_number_of_people]],2)</f>
        <v>160.6</v>
      </c>
      <c r="P48">
        <f>100-country_level_data[[#This Row],[waste_treatment_recycling_percent]]</f>
        <v>98</v>
      </c>
      <c r="Q48" t="str" cm="1">
        <f t="array" ref="Q48">_xlfn.SWITCH(
    TRUE(),
    J48&gt;=40, "High",
    J48&gt;=20, "Medium",
    J48&lt;20,  "Low"
)</f>
        <v>Low</v>
      </c>
    </row>
    <row r="49" spans="1:17" x14ac:dyDescent="0.35">
      <c r="A49" t="s">
        <v>118</v>
      </c>
      <c r="B49" t="s">
        <v>14</v>
      </c>
      <c r="C49" t="s">
        <v>119</v>
      </c>
      <c r="D49" t="s">
        <v>16</v>
      </c>
      <c r="E49">
        <v>66207.445309999996</v>
      </c>
      <c r="F49" t="str">
        <f>_xlfn.XLOOKUP(D49, Income_Lookup[income_id], Income_Lookup[income_label])</f>
        <v>High income</v>
      </c>
      <c r="G49">
        <v>60000</v>
      </c>
      <c r="I49">
        <v>59172</v>
      </c>
      <c r="J49">
        <v>21</v>
      </c>
      <c r="O49">
        <f>ROUND(country_level_data[[#This Row],[total_msw_total_msw_generated_tons_year]]*1000/country_level_data[[#This Row],[population_population_number_of_people]],2)</f>
        <v>1013.99</v>
      </c>
      <c r="P49">
        <f>100-country_level_data[[#This Row],[waste_treatment_recycling_percent]]</f>
        <v>79</v>
      </c>
      <c r="Q49" t="str" cm="1">
        <f t="array" ref="Q49">_xlfn.SWITCH(
    TRUE(),
    J49&gt;=40, "High",
    J49&gt;=20, "Medium",
    J49&lt;20,  "Low"
)</f>
        <v>Medium</v>
      </c>
    </row>
    <row r="50" spans="1:17" x14ac:dyDescent="0.35">
      <c r="A50" t="s">
        <v>120</v>
      </c>
      <c r="B50" t="s">
        <v>26</v>
      </c>
      <c r="C50" t="s">
        <v>121</v>
      </c>
      <c r="D50" t="s">
        <v>16</v>
      </c>
      <c r="E50">
        <v>39544.683590000001</v>
      </c>
      <c r="F50" t="str">
        <f>_xlfn.XLOOKUP(D50, Income_Lookup[income_id], Income_Lookup[income_label])</f>
        <v>High income</v>
      </c>
      <c r="G50">
        <v>769485.125</v>
      </c>
      <c r="I50">
        <v>1198575</v>
      </c>
      <c r="J50">
        <v>13.31</v>
      </c>
      <c r="N50">
        <v>4.62</v>
      </c>
      <c r="O50">
        <f>ROUND(country_level_data[[#This Row],[total_msw_total_msw_generated_tons_year]]*1000/country_level_data[[#This Row],[population_population_number_of_people]],2)</f>
        <v>642</v>
      </c>
      <c r="P50">
        <f>100-country_level_data[[#This Row],[waste_treatment_recycling_percent]]</f>
        <v>86.69</v>
      </c>
      <c r="Q50" t="str" cm="1">
        <f t="array" ref="Q50">_xlfn.SWITCH(
    TRUE(),
    J50&gt;=40, "High",
    J50&gt;=20, "Medium",
    J50&lt;20,  "Low"
)</f>
        <v>Low</v>
      </c>
    </row>
    <row r="51" spans="1:17" x14ac:dyDescent="0.35">
      <c r="A51" t="s">
        <v>122</v>
      </c>
      <c r="B51" t="s">
        <v>26</v>
      </c>
      <c r="C51" t="s">
        <v>123</v>
      </c>
      <c r="D51" t="s">
        <v>16</v>
      </c>
      <c r="E51">
        <v>40836.328130000002</v>
      </c>
      <c r="F51" t="str">
        <f>_xlfn.XLOOKUP(D51, Income_Lookup[income_id], Income_Lookup[income_label])</f>
        <v>High income</v>
      </c>
      <c r="G51">
        <v>5334854.5</v>
      </c>
      <c r="I51">
        <v>10669709</v>
      </c>
      <c r="J51">
        <v>25.5</v>
      </c>
      <c r="M51">
        <v>17.68</v>
      </c>
      <c r="N51">
        <v>4.22</v>
      </c>
      <c r="O51">
        <f>ROUND(country_level_data[[#This Row],[total_msw_total_msw_generated_tons_year]]*1000/country_level_data[[#This Row],[population_population_number_of_people]],2)</f>
        <v>500</v>
      </c>
      <c r="P51">
        <f>100-country_level_data[[#This Row],[waste_treatment_recycling_percent]]</f>
        <v>74.5</v>
      </c>
      <c r="Q51" t="str" cm="1">
        <f t="array" ref="Q51">_xlfn.SWITCH(
    TRUE(),
    J51&gt;=40, "High",
    J51&gt;=20, "Medium",
    J51&lt;20,  "Low"
)</f>
        <v>Medium</v>
      </c>
    </row>
    <row r="52" spans="1:17" x14ac:dyDescent="0.35">
      <c r="A52" t="s">
        <v>124</v>
      </c>
      <c r="B52" t="s">
        <v>26</v>
      </c>
      <c r="C52" t="s">
        <v>125</v>
      </c>
      <c r="D52" t="s">
        <v>16</v>
      </c>
      <c r="E52">
        <v>53784.78125</v>
      </c>
      <c r="F52" t="str">
        <f>_xlfn.XLOOKUP(D52, Income_Lookup[income_id], Income_Lookup[income_label])</f>
        <v>High income</v>
      </c>
      <c r="G52">
        <v>50627876</v>
      </c>
      <c r="I52">
        <v>83132800</v>
      </c>
      <c r="J52">
        <v>47.83</v>
      </c>
      <c r="M52">
        <v>31.71</v>
      </c>
      <c r="N52">
        <v>18.23</v>
      </c>
      <c r="O52">
        <f>ROUND(country_level_data[[#This Row],[total_msw_total_msw_generated_tons_year]]*1000/country_level_data[[#This Row],[population_population_number_of_people]],2)</f>
        <v>609</v>
      </c>
      <c r="P52">
        <f>100-country_level_data[[#This Row],[waste_treatment_recycling_percent]]</f>
        <v>52.17</v>
      </c>
      <c r="Q52" t="str" cm="1">
        <f t="array" ref="Q52">_xlfn.SWITCH(
    TRUE(),
    J52&gt;=40, "High",
    J52&gt;=20, "Medium",
    J52&lt;20,  "Low"
)</f>
        <v>High</v>
      </c>
    </row>
    <row r="53" spans="1:17" x14ac:dyDescent="0.35">
      <c r="A53" t="s">
        <v>126</v>
      </c>
      <c r="B53" t="s">
        <v>32</v>
      </c>
      <c r="C53" t="s">
        <v>127</v>
      </c>
      <c r="D53" t="s">
        <v>24</v>
      </c>
      <c r="E53">
        <v>6596.7753910000001</v>
      </c>
      <c r="F53" t="str">
        <f>_xlfn.XLOOKUP(D53, Income_Lookup[income_id], Income_Lookup[income_label])</f>
        <v>Lower-middle income</v>
      </c>
      <c r="G53">
        <v>114997.249</v>
      </c>
      <c r="I53">
        <v>746221</v>
      </c>
      <c r="O53">
        <f>ROUND(country_level_data[[#This Row],[total_msw_total_msw_generated_tons_year]]*1000/country_level_data[[#This Row],[population_population_number_of_people]],2)</f>
        <v>154.11000000000001</v>
      </c>
      <c r="P53">
        <f>100-country_level_data[[#This Row],[waste_treatment_recycling_percent]]</f>
        <v>100</v>
      </c>
      <c r="Q53" t="str" cm="1">
        <f t="array" ref="Q53">_xlfn.SWITCH(
    TRUE(),
    J53&gt;=40, "High",
    J53&gt;=20, "Medium",
    J53&lt;20,  "Low"
)</f>
        <v>Low</v>
      </c>
    </row>
    <row r="54" spans="1:17" x14ac:dyDescent="0.35">
      <c r="A54" t="s">
        <v>128</v>
      </c>
      <c r="B54" t="s">
        <v>14</v>
      </c>
      <c r="C54" t="s">
        <v>129</v>
      </c>
      <c r="D54" t="s">
        <v>28</v>
      </c>
      <c r="E54">
        <v>11708.639649999999</v>
      </c>
      <c r="F54" t="str">
        <f>_xlfn.XLOOKUP(D54, Income_Lookup[income_id], Income_Lookup[income_label])</f>
        <v>Upper-middle income</v>
      </c>
      <c r="G54">
        <v>13176</v>
      </c>
      <c r="H54">
        <v>94</v>
      </c>
      <c r="I54">
        <v>72400</v>
      </c>
      <c r="K54">
        <v>94</v>
      </c>
      <c r="O54">
        <f>ROUND(country_level_data[[#This Row],[total_msw_total_msw_generated_tons_year]]*1000/country_level_data[[#This Row],[population_population_number_of_people]],2)</f>
        <v>181.99</v>
      </c>
      <c r="P54">
        <f>100-country_level_data[[#This Row],[waste_treatment_recycling_percent]]</f>
        <v>100</v>
      </c>
      <c r="Q54" t="str" cm="1">
        <f t="array" ref="Q54">_xlfn.SWITCH(
    TRUE(),
    J54&gt;=40, "High",
    J54&gt;=20, "Medium",
    J54&lt;20,  "Low"
)</f>
        <v>Low</v>
      </c>
    </row>
    <row r="55" spans="1:17" x14ac:dyDescent="0.35">
      <c r="A55" t="s">
        <v>130</v>
      </c>
      <c r="B55" t="s">
        <v>26</v>
      </c>
      <c r="C55" t="s">
        <v>131</v>
      </c>
      <c r="D55" t="s">
        <v>16</v>
      </c>
      <c r="E55">
        <v>57821.199220000002</v>
      </c>
      <c r="F55" t="str">
        <f>_xlfn.XLOOKUP(D55, Income_Lookup[income_id], Income_Lookup[income_label])</f>
        <v>High income</v>
      </c>
      <c r="G55">
        <v>4910858.5</v>
      </c>
      <c r="I55">
        <v>5818553</v>
      </c>
      <c r="J55">
        <v>27.27</v>
      </c>
      <c r="M55">
        <v>52.59</v>
      </c>
      <c r="N55">
        <v>18.989999999999998</v>
      </c>
      <c r="O55">
        <f>ROUND(country_level_data[[#This Row],[total_msw_total_msw_generated_tons_year]]*1000/country_level_data[[#This Row],[population_population_number_of_people]],2)</f>
        <v>844</v>
      </c>
      <c r="P55">
        <f>100-country_level_data[[#This Row],[waste_treatment_recycling_percent]]</f>
        <v>72.73</v>
      </c>
      <c r="Q55" t="str" cm="1">
        <f t="array" ref="Q55">_xlfn.SWITCH(
    TRUE(),
    J55&gt;=40, "High",
    J55&gt;=20, "Medium",
    J55&lt;20,  "Low"
)</f>
        <v>Medium</v>
      </c>
    </row>
    <row r="56" spans="1:17" x14ac:dyDescent="0.35">
      <c r="A56" t="s">
        <v>132</v>
      </c>
      <c r="B56" t="s">
        <v>14</v>
      </c>
      <c r="C56" t="s">
        <v>133</v>
      </c>
      <c r="D56" t="s">
        <v>28</v>
      </c>
      <c r="E56">
        <v>15328.35254</v>
      </c>
      <c r="F56" t="str">
        <f>_xlfn.XLOOKUP(D56, Income_Lookup[income_id], Income_Lookup[income_label])</f>
        <v>Upper-middle income</v>
      </c>
      <c r="G56">
        <v>4063910</v>
      </c>
      <c r="I56">
        <v>10528394</v>
      </c>
      <c r="J56">
        <v>8.1999999999999993</v>
      </c>
      <c r="L56">
        <v>72.575831399999998</v>
      </c>
      <c r="O56">
        <f>ROUND(country_level_data[[#This Row],[total_msw_total_msw_generated_tons_year]]*1000/country_level_data[[#This Row],[population_population_number_of_people]],2)</f>
        <v>386</v>
      </c>
      <c r="P56">
        <f>100-country_level_data[[#This Row],[waste_treatment_recycling_percent]]</f>
        <v>91.8</v>
      </c>
      <c r="Q56" t="str" cm="1">
        <f t="array" ref="Q56">_xlfn.SWITCH(
    TRUE(),
    J56&gt;=40, "High",
    J56&gt;=20, "Medium",
    J56&lt;20,  "Low"
)</f>
        <v>Low</v>
      </c>
    </row>
    <row r="57" spans="1:17" x14ac:dyDescent="0.35">
      <c r="A57" t="s">
        <v>134</v>
      </c>
      <c r="B57" t="s">
        <v>32</v>
      </c>
      <c r="C57" t="s">
        <v>135</v>
      </c>
      <c r="D57" t="s">
        <v>28</v>
      </c>
      <c r="E57">
        <v>11826.16504</v>
      </c>
      <c r="F57" t="str">
        <f>_xlfn.XLOOKUP(D57, Income_Lookup[income_id], Income_Lookup[income_label])</f>
        <v>Upper-middle income</v>
      </c>
      <c r="G57">
        <v>12378740</v>
      </c>
      <c r="I57">
        <v>40606052</v>
      </c>
      <c r="J57">
        <v>8</v>
      </c>
      <c r="K57">
        <v>2</v>
      </c>
      <c r="N57">
        <v>1</v>
      </c>
      <c r="O57">
        <f>ROUND(country_level_data[[#This Row],[total_msw_total_msw_generated_tons_year]]*1000/country_level_data[[#This Row],[population_population_number_of_people]],2)</f>
        <v>304.85000000000002</v>
      </c>
      <c r="P57">
        <f>100-country_level_data[[#This Row],[waste_treatment_recycling_percent]]</f>
        <v>92</v>
      </c>
      <c r="Q57" t="str" cm="1">
        <f t="array" ref="Q57">_xlfn.SWITCH(
    TRUE(),
    J57&gt;=40, "High",
    J57&gt;=20, "Medium",
    J57&lt;20,  "Low"
)</f>
        <v>Low</v>
      </c>
    </row>
    <row r="58" spans="1:17" x14ac:dyDescent="0.35">
      <c r="A58" t="s">
        <v>136</v>
      </c>
      <c r="B58" t="s">
        <v>14</v>
      </c>
      <c r="C58" t="s">
        <v>137</v>
      </c>
      <c r="D58" t="s">
        <v>28</v>
      </c>
      <c r="E58">
        <v>11896.37695</v>
      </c>
      <c r="F58" t="str">
        <f>_xlfn.XLOOKUP(D58, Income_Lookup[income_id], Income_Lookup[income_label])</f>
        <v>Upper-middle income</v>
      </c>
      <c r="G58">
        <v>5297211.1430000002</v>
      </c>
      <c r="I58">
        <v>16144368</v>
      </c>
      <c r="J58">
        <v>12.9</v>
      </c>
      <c r="L58">
        <v>22.28</v>
      </c>
      <c r="O58">
        <f>ROUND(country_level_data[[#This Row],[total_msw_total_msw_generated_tons_year]]*1000/country_level_data[[#This Row],[population_population_number_of_people]],2)</f>
        <v>328.12</v>
      </c>
      <c r="P58">
        <f>100-country_level_data[[#This Row],[waste_treatment_recycling_percent]]</f>
        <v>87.1</v>
      </c>
      <c r="Q58" t="str" cm="1">
        <f t="array" ref="Q58">_xlfn.SWITCH(
    TRUE(),
    J58&gt;=40, "High",
    J58&gt;=20, "Medium",
    J58&lt;20,  "Low"
)</f>
        <v>Low</v>
      </c>
    </row>
    <row r="59" spans="1:17" x14ac:dyDescent="0.35">
      <c r="A59" t="s">
        <v>138</v>
      </c>
      <c r="B59" t="s">
        <v>32</v>
      </c>
      <c r="C59" t="s">
        <v>139</v>
      </c>
      <c r="D59" t="s">
        <v>24</v>
      </c>
      <c r="E59">
        <v>10301.10742</v>
      </c>
      <c r="F59" t="str">
        <f>_xlfn.XLOOKUP(D59, Income_Lookup[income_id], Income_Lookup[income_label])</f>
        <v>Lower-middle income</v>
      </c>
      <c r="G59">
        <v>21000000</v>
      </c>
      <c r="I59">
        <v>87813256</v>
      </c>
      <c r="J59">
        <v>12.5</v>
      </c>
      <c r="L59">
        <v>84</v>
      </c>
      <c r="N59">
        <v>7</v>
      </c>
      <c r="O59">
        <f>ROUND(country_level_data[[#This Row],[total_msw_total_msw_generated_tons_year]]*1000/country_level_data[[#This Row],[population_population_number_of_people]],2)</f>
        <v>239.14</v>
      </c>
      <c r="P59">
        <f>100-country_level_data[[#This Row],[waste_treatment_recycling_percent]]</f>
        <v>87.5</v>
      </c>
      <c r="Q59" t="str" cm="1">
        <f t="array" ref="Q59">_xlfn.SWITCH(
    TRUE(),
    J59&gt;=40, "High",
    J59&gt;=20, "Medium",
    J59&lt;20,  "Low"
)</f>
        <v>Low</v>
      </c>
    </row>
    <row r="60" spans="1:17" x14ac:dyDescent="0.35">
      <c r="A60" t="s">
        <v>140</v>
      </c>
      <c r="B60" t="s">
        <v>22</v>
      </c>
      <c r="C60" t="s">
        <v>141</v>
      </c>
      <c r="D60" t="s">
        <v>20</v>
      </c>
      <c r="E60">
        <v>1714.5523679999999</v>
      </c>
      <c r="F60" t="str">
        <f>_xlfn.XLOOKUP(D60, Income_Lookup[income_id], Income_Lookup[income_label])</f>
        <v>Low income</v>
      </c>
      <c r="G60">
        <v>726957.37</v>
      </c>
      <c r="I60">
        <v>4474690</v>
      </c>
      <c r="O60">
        <f>ROUND(country_level_data[[#This Row],[total_msw_total_msw_generated_tons_year]]*1000/country_level_data[[#This Row],[population_population_number_of_people]],2)</f>
        <v>162.46</v>
      </c>
      <c r="P60">
        <f>100-country_level_data[[#This Row],[waste_treatment_recycling_percent]]</f>
        <v>100</v>
      </c>
      <c r="Q60" t="str" cm="1">
        <f t="array" ref="Q60">_xlfn.SWITCH(
    TRUE(),
    J60&gt;=40, "High",
    J60&gt;=20, "Medium",
    J60&lt;20,  "Low"
)</f>
        <v>Low</v>
      </c>
    </row>
    <row r="61" spans="1:17" x14ac:dyDescent="0.35">
      <c r="A61" t="s">
        <v>142</v>
      </c>
      <c r="B61" t="s">
        <v>26</v>
      </c>
      <c r="C61" t="s">
        <v>143</v>
      </c>
      <c r="D61" t="s">
        <v>16</v>
      </c>
      <c r="E61">
        <v>40985.558590000001</v>
      </c>
      <c r="F61" t="str">
        <f>_xlfn.XLOOKUP(D61, Income_Lookup[income_id], Income_Lookup[income_label])</f>
        <v>High income</v>
      </c>
      <c r="G61">
        <v>22408548</v>
      </c>
      <c r="I61">
        <v>47076780</v>
      </c>
      <c r="J61">
        <v>16.84</v>
      </c>
      <c r="M61">
        <v>11.62</v>
      </c>
      <c r="N61">
        <v>16.45</v>
      </c>
      <c r="O61">
        <f>ROUND(country_level_data[[#This Row],[total_msw_total_msw_generated_tons_year]]*1000/country_level_data[[#This Row],[population_population_number_of_people]],2)</f>
        <v>476</v>
      </c>
      <c r="P61">
        <f>100-country_level_data[[#This Row],[waste_treatment_recycling_percent]]</f>
        <v>83.16</v>
      </c>
      <c r="Q61" t="str" cm="1">
        <f t="array" ref="Q61">_xlfn.SWITCH(
    TRUE(),
    J61&gt;=40, "High",
    J61&gt;=20, "Medium",
    J61&lt;20,  "Low"
)</f>
        <v>Low</v>
      </c>
    </row>
    <row r="62" spans="1:17" x14ac:dyDescent="0.35">
      <c r="A62" t="s">
        <v>144</v>
      </c>
      <c r="B62" t="s">
        <v>26</v>
      </c>
      <c r="C62" t="s">
        <v>145</v>
      </c>
      <c r="D62" t="s">
        <v>16</v>
      </c>
      <c r="E62">
        <v>36956.285159999999</v>
      </c>
      <c r="F62" t="str">
        <f>_xlfn.XLOOKUP(D62, Income_Lookup[income_id], Income_Lookup[income_label])</f>
        <v>High income</v>
      </c>
      <c r="G62">
        <v>489511.71879999997</v>
      </c>
      <c r="I62">
        <v>1326590</v>
      </c>
      <c r="J62">
        <v>24.74</v>
      </c>
      <c r="K62">
        <v>7.4</v>
      </c>
      <c r="M62">
        <v>51.37</v>
      </c>
      <c r="N62">
        <v>3.6</v>
      </c>
      <c r="O62">
        <f>ROUND(country_level_data[[#This Row],[total_msw_total_msw_generated_tons_year]]*1000/country_level_data[[#This Row],[population_population_number_of_people]],2)</f>
        <v>369</v>
      </c>
      <c r="P62">
        <f>100-country_level_data[[#This Row],[waste_treatment_recycling_percent]]</f>
        <v>75.260000000000005</v>
      </c>
      <c r="Q62" t="str" cm="1">
        <f t="array" ref="Q62">_xlfn.SWITCH(
    TRUE(),
    J62&gt;=40, "High",
    J62&gt;=20, "Medium",
    J62&lt;20,  "Low"
)</f>
        <v>Medium</v>
      </c>
    </row>
    <row r="63" spans="1:17" x14ac:dyDescent="0.35">
      <c r="A63" t="s">
        <v>146</v>
      </c>
      <c r="B63" t="s">
        <v>22</v>
      </c>
      <c r="C63" t="s">
        <v>147</v>
      </c>
      <c r="D63" t="s">
        <v>20</v>
      </c>
      <c r="E63">
        <v>1779.0839840000001</v>
      </c>
      <c r="F63" t="str">
        <f>_xlfn.XLOOKUP(D63, Income_Lookup[income_id], Income_Lookup[income_label])</f>
        <v>Low income</v>
      </c>
      <c r="G63">
        <v>6532786.9699999997</v>
      </c>
      <c r="I63">
        <v>99873032</v>
      </c>
      <c r="L63">
        <v>43</v>
      </c>
      <c r="O63">
        <f>ROUND(country_level_data[[#This Row],[total_msw_total_msw_generated_tons_year]]*1000/country_level_data[[#This Row],[population_population_number_of_people]],2)</f>
        <v>65.41</v>
      </c>
      <c r="P63">
        <f>100-country_level_data[[#This Row],[waste_treatment_recycling_percent]]</f>
        <v>100</v>
      </c>
      <c r="Q63" t="str" cm="1">
        <f t="array" ref="Q63">_xlfn.SWITCH(
    TRUE(),
    J63&gt;=40, "High",
    J63&gt;=20, "Medium",
    J63&lt;20,  "Low"
)</f>
        <v>Low</v>
      </c>
    </row>
    <row r="64" spans="1:17" x14ac:dyDescent="0.35">
      <c r="A64" t="s">
        <v>148</v>
      </c>
      <c r="B64" t="s">
        <v>26</v>
      </c>
      <c r="C64" t="s">
        <v>149</v>
      </c>
      <c r="D64" t="s">
        <v>16</v>
      </c>
      <c r="E64">
        <v>48814.308590000001</v>
      </c>
      <c r="F64" t="str">
        <f>_xlfn.XLOOKUP(D64, Income_Lookup[income_id], Income_Lookup[income_label])</f>
        <v>High income</v>
      </c>
      <c r="G64">
        <v>3124497.75</v>
      </c>
      <c r="I64">
        <v>5520314</v>
      </c>
      <c r="J64">
        <v>28.12</v>
      </c>
      <c r="M64">
        <v>47.92</v>
      </c>
      <c r="N64">
        <v>12.45</v>
      </c>
      <c r="O64">
        <f>ROUND(country_level_data[[#This Row],[total_msw_total_msw_generated_tons_year]]*1000/country_level_data[[#This Row],[population_population_number_of_people]],2)</f>
        <v>566</v>
      </c>
      <c r="P64">
        <f>100-country_level_data[[#This Row],[waste_treatment_recycling_percent]]</f>
        <v>71.88</v>
      </c>
      <c r="Q64" t="str" cm="1">
        <f t="array" ref="Q64">_xlfn.SWITCH(
    TRUE(),
    J64&gt;=40, "High",
    J64&gt;=20, "Medium",
    J64&lt;20,  "Low"
)</f>
        <v>Medium</v>
      </c>
    </row>
    <row r="65" spans="1:17" x14ac:dyDescent="0.35">
      <c r="A65" t="s">
        <v>150</v>
      </c>
      <c r="B65" t="s">
        <v>39</v>
      </c>
      <c r="C65" t="s">
        <v>151</v>
      </c>
      <c r="D65" t="s">
        <v>28</v>
      </c>
      <c r="E65">
        <v>10787.68555</v>
      </c>
      <c r="F65" t="str">
        <f>_xlfn.XLOOKUP(D65, Income_Lookup[income_id], Income_Lookup[income_label])</f>
        <v>Upper-middle income</v>
      </c>
      <c r="G65">
        <v>189389.59400000001</v>
      </c>
      <c r="I65">
        <v>867086</v>
      </c>
      <c r="J65">
        <v>5.45</v>
      </c>
      <c r="O65">
        <f>ROUND(country_level_data[[#This Row],[total_msw_total_msw_generated_tons_year]]*1000/country_level_data[[#This Row],[population_population_number_of_people]],2)</f>
        <v>218.42</v>
      </c>
      <c r="P65">
        <f>100-country_level_data[[#This Row],[waste_treatment_recycling_percent]]</f>
        <v>94.55</v>
      </c>
      <c r="Q65" t="str" cm="1">
        <f t="array" ref="Q65">_xlfn.SWITCH(
    TRUE(),
    J65&gt;=40, "High",
    J65&gt;=20, "Medium",
    J65&lt;20,  "Low"
)</f>
        <v>Low</v>
      </c>
    </row>
    <row r="66" spans="1:17" x14ac:dyDescent="0.35">
      <c r="A66" t="s">
        <v>152</v>
      </c>
      <c r="B66" t="s">
        <v>26</v>
      </c>
      <c r="C66" t="s">
        <v>153</v>
      </c>
      <c r="D66" t="s">
        <v>16</v>
      </c>
      <c r="E66">
        <v>46110.183590000001</v>
      </c>
      <c r="F66" t="str">
        <f>_xlfn.XLOOKUP(D66, Income_Lookup[income_id], Income_Lookup[income_label])</f>
        <v>High income</v>
      </c>
      <c r="G66">
        <v>36748820</v>
      </c>
      <c r="I66">
        <v>67059888</v>
      </c>
      <c r="J66">
        <v>22.26</v>
      </c>
      <c r="M66">
        <v>34.700000000000003</v>
      </c>
      <c r="N66">
        <v>17.260000000000002</v>
      </c>
      <c r="O66">
        <f>ROUND(country_level_data[[#This Row],[total_msw_total_msw_generated_tons_year]]*1000/country_level_data[[#This Row],[population_population_number_of_people]],2)</f>
        <v>548</v>
      </c>
      <c r="P66">
        <f>100-country_level_data[[#This Row],[waste_treatment_recycling_percent]]</f>
        <v>77.739999999999995</v>
      </c>
      <c r="Q66" t="str" cm="1">
        <f t="array" ref="Q66">_xlfn.SWITCH(
    TRUE(),
    J66&gt;=40, "High",
    J66&gt;=20, "Medium",
    J66&lt;20,  "Low"
)</f>
        <v>Medium</v>
      </c>
    </row>
    <row r="67" spans="1:17" x14ac:dyDescent="0.35">
      <c r="A67" t="s">
        <v>154</v>
      </c>
      <c r="B67" t="s">
        <v>26</v>
      </c>
      <c r="C67" t="s">
        <v>155</v>
      </c>
      <c r="D67" t="s">
        <v>16</v>
      </c>
      <c r="E67">
        <v>44402.878909999999</v>
      </c>
      <c r="F67" t="str">
        <f>_xlfn.XLOOKUP(D67, Income_Lookup[income_id], Income_Lookup[income_label])</f>
        <v>High income</v>
      </c>
      <c r="G67">
        <v>61000</v>
      </c>
      <c r="I67">
        <v>48842</v>
      </c>
      <c r="J67">
        <v>67</v>
      </c>
      <c r="O67">
        <f>ROUND(country_level_data[[#This Row],[total_msw_total_msw_generated_tons_year]]*1000/country_level_data[[#This Row],[population_population_number_of_people]],2)</f>
        <v>1248.93</v>
      </c>
      <c r="P67">
        <f>100-country_level_data[[#This Row],[waste_treatment_recycling_percent]]</f>
        <v>33</v>
      </c>
      <c r="Q67" t="str" cm="1">
        <f t="array" ref="Q67">_xlfn.SWITCH(
    TRUE(),
    J67&gt;=40, "High",
    J67&gt;=20, "Medium",
    J67&lt;20,  "Low"
)</f>
        <v>High</v>
      </c>
    </row>
    <row r="68" spans="1:17" x14ac:dyDescent="0.35">
      <c r="A68" t="s">
        <v>156</v>
      </c>
      <c r="B68" t="s">
        <v>39</v>
      </c>
      <c r="C68" t="s">
        <v>157</v>
      </c>
      <c r="D68" t="s">
        <v>24</v>
      </c>
      <c r="E68">
        <v>3440.0642090000001</v>
      </c>
      <c r="F68" t="str">
        <f>_xlfn.XLOOKUP(D68, Income_Lookup[income_id], Income_Lookup[income_label])</f>
        <v>Lower-middle income</v>
      </c>
      <c r="G68">
        <v>26039.57</v>
      </c>
      <c r="H68">
        <v>8</v>
      </c>
      <c r="I68">
        <v>104937</v>
      </c>
      <c r="O68">
        <f>ROUND(country_level_data[[#This Row],[total_msw_total_msw_generated_tons_year]]*1000/country_level_data[[#This Row],[population_population_number_of_people]],2)</f>
        <v>248.14</v>
      </c>
      <c r="P68">
        <f>100-country_level_data[[#This Row],[waste_treatment_recycling_percent]]</f>
        <v>100</v>
      </c>
      <c r="Q68" t="str" cm="1">
        <f t="array" ref="Q68">_xlfn.SWITCH(
    TRUE(),
    J68&gt;=40, "High",
    J68&gt;=20, "Medium",
    J68&lt;20,  "Low"
)</f>
        <v>Low</v>
      </c>
    </row>
    <row r="69" spans="1:17" x14ac:dyDescent="0.35">
      <c r="A69" t="s">
        <v>158</v>
      </c>
      <c r="B69" t="s">
        <v>22</v>
      </c>
      <c r="C69" t="s">
        <v>159</v>
      </c>
      <c r="D69" t="s">
        <v>28</v>
      </c>
      <c r="E69">
        <v>18514.652340000001</v>
      </c>
      <c r="F69" t="str">
        <f>_xlfn.XLOOKUP(D69, Income_Lookup[income_id], Income_Lookup[income_label])</f>
        <v>Upper-middle income</v>
      </c>
      <c r="G69">
        <v>238102.31</v>
      </c>
      <c r="H69">
        <v>23.6</v>
      </c>
      <c r="I69">
        <v>1086137</v>
      </c>
      <c r="O69">
        <f>ROUND(country_level_data[[#This Row],[total_msw_total_msw_generated_tons_year]]*1000/country_level_data[[#This Row],[population_population_number_of_people]],2)</f>
        <v>219.22</v>
      </c>
      <c r="P69">
        <f>100-country_level_data[[#This Row],[waste_treatment_recycling_percent]]</f>
        <v>100</v>
      </c>
      <c r="Q69" t="str" cm="1">
        <f t="array" ref="Q69">_xlfn.SWITCH(
    TRUE(),
    J69&gt;=40, "High",
    J69&gt;=20, "Medium",
    J69&lt;20,  "Low"
)</f>
        <v>Low</v>
      </c>
    </row>
    <row r="70" spans="1:17" x14ac:dyDescent="0.35">
      <c r="A70" t="s">
        <v>160</v>
      </c>
      <c r="B70" t="s">
        <v>26</v>
      </c>
      <c r="C70" t="s">
        <v>161</v>
      </c>
      <c r="D70" t="s">
        <v>16</v>
      </c>
      <c r="E70">
        <v>46290.121090000001</v>
      </c>
      <c r="F70" t="str">
        <f>_xlfn.XLOOKUP(D70, Income_Lookup[income_id], Income_Lookup[income_label])</f>
        <v>High income</v>
      </c>
      <c r="G70">
        <v>30771140</v>
      </c>
      <c r="I70">
        <v>66460344</v>
      </c>
      <c r="J70">
        <v>27.25</v>
      </c>
      <c r="M70">
        <v>31.38</v>
      </c>
      <c r="N70">
        <v>16.23</v>
      </c>
      <c r="O70">
        <f>ROUND(country_level_data[[#This Row],[total_msw_total_msw_generated_tons_year]]*1000/country_level_data[[#This Row],[population_population_number_of_people]],2)</f>
        <v>463</v>
      </c>
      <c r="P70">
        <f>100-country_level_data[[#This Row],[waste_treatment_recycling_percent]]</f>
        <v>72.75</v>
      </c>
      <c r="Q70" t="str" cm="1">
        <f t="array" ref="Q70">_xlfn.SWITCH(
    TRUE(),
    J70&gt;=40, "High",
    J70&gt;=20, "Medium",
    J70&lt;20,  "Low"
)</f>
        <v>Medium</v>
      </c>
    </row>
    <row r="71" spans="1:17" x14ac:dyDescent="0.35">
      <c r="A71" t="s">
        <v>162</v>
      </c>
      <c r="B71" t="s">
        <v>26</v>
      </c>
      <c r="C71" t="s">
        <v>163</v>
      </c>
      <c r="D71" t="s">
        <v>24</v>
      </c>
      <c r="E71">
        <v>12605.139649999999</v>
      </c>
      <c r="F71" t="str">
        <f>_xlfn.XLOOKUP(D71, Income_Lookup[income_id], Income_Lookup[income_label])</f>
        <v>Lower-middle income</v>
      </c>
      <c r="G71">
        <v>800000</v>
      </c>
      <c r="H71">
        <v>60</v>
      </c>
      <c r="I71">
        <v>3717100</v>
      </c>
      <c r="O71">
        <f>ROUND(country_level_data[[#This Row],[total_msw_total_msw_generated_tons_year]]*1000/country_level_data[[#This Row],[population_population_number_of_people]],2)</f>
        <v>215.22</v>
      </c>
      <c r="P71">
        <f>100-country_level_data[[#This Row],[waste_treatment_recycling_percent]]</f>
        <v>100</v>
      </c>
      <c r="Q71" t="str" cm="1">
        <f t="array" ref="Q71">_xlfn.SWITCH(
    TRUE(),
    J71&gt;=40, "High",
    J71&gt;=20, "Medium",
    J71&lt;20,  "Low"
)</f>
        <v>Low</v>
      </c>
    </row>
    <row r="72" spans="1:17" x14ac:dyDescent="0.35">
      <c r="A72" t="s">
        <v>164</v>
      </c>
      <c r="B72" t="s">
        <v>22</v>
      </c>
      <c r="C72" t="s">
        <v>165</v>
      </c>
      <c r="D72" t="s">
        <v>24</v>
      </c>
      <c r="E72">
        <v>3092.5969239999999</v>
      </c>
      <c r="F72" t="str">
        <f>_xlfn.XLOOKUP(D72, Income_Lookup[income_id], Income_Lookup[income_label])</f>
        <v>Lower-middle income</v>
      </c>
      <c r="G72">
        <v>3538274.9780000001</v>
      </c>
      <c r="I72">
        <v>21542008</v>
      </c>
      <c r="O72">
        <f>ROUND(country_level_data[[#This Row],[total_msw_total_msw_generated_tons_year]]*1000/country_level_data[[#This Row],[population_population_number_of_people]],2)</f>
        <v>164.25</v>
      </c>
      <c r="P72">
        <f>100-country_level_data[[#This Row],[waste_treatment_recycling_percent]]</f>
        <v>100</v>
      </c>
      <c r="Q72" t="str" cm="1">
        <f t="array" ref="Q72">_xlfn.SWITCH(
    TRUE(),
    J72&gt;=40, "High",
    J72&gt;=20, "Medium",
    J72&lt;20,  "Low"
)</f>
        <v>Low</v>
      </c>
    </row>
    <row r="73" spans="1:17" x14ac:dyDescent="0.35">
      <c r="A73" t="s">
        <v>166</v>
      </c>
      <c r="B73" t="s">
        <v>26</v>
      </c>
      <c r="C73" t="s">
        <v>167</v>
      </c>
      <c r="D73" t="s">
        <v>16</v>
      </c>
      <c r="E73">
        <v>43711.800779999998</v>
      </c>
      <c r="F73" t="str">
        <f>_xlfn.XLOOKUP(D73, Income_Lookup[income_id], Income_Lookup[income_label])</f>
        <v>High income</v>
      </c>
      <c r="G73">
        <v>16954</v>
      </c>
      <c r="I73">
        <v>33623</v>
      </c>
      <c r="O73">
        <f>ROUND(country_level_data[[#This Row],[total_msw_total_msw_generated_tons_year]]*1000/country_level_data[[#This Row],[population_population_number_of_people]],2)</f>
        <v>504.24</v>
      </c>
      <c r="P73">
        <f>100-country_level_data[[#This Row],[waste_treatment_recycling_percent]]</f>
        <v>100</v>
      </c>
      <c r="Q73" t="str" cm="1">
        <f t="array" ref="Q73">_xlfn.SWITCH(
    TRUE(),
    J73&gt;=40, "High",
    J73&gt;=20, "Medium",
    J73&lt;20,  "Low"
)</f>
        <v>Low</v>
      </c>
    </row>
    <row r="74" spans="1:17" x14ac:dyDescent="0.35">
      <c r="A74" t="s">
        <v>168</v>
      </c>
      <c r="B74" t="s">
        <v>22</v>
      </c>
      <c r="C74" t="s">
        <v>169</v>
      </c>
      <c r="D74" t="s">
        <v>20</v>
      </c>
      <c r="E74">
        <v>1622.7768550000001</v>
      </c>
      <c r="F74" t="str">
        <f>_xlfn.XLOOKUP(D74, Income_Lookup[income_id], Income_Lookup[income_label])</f>
        <v>Low income</v>
      </c>
      <c r="G74">
        <v>596911</v>
      </c>
      <c r="I74">
        <v>8132552</v>
      </c>
      <c r="J74">
        <v>5</v>
      </c>
      <c r="O74">
        <f>ROUND(country_level_data[[#This Row],[total_msw_total_msw_generated_tons_year]]*1000/country_level_data[[#This Row],[population_population_number_of_people]],2)</f>
        <v>73.400000000000006</v>
      </c>
      <c r="P74">
        <f>100-country_level_data[[#This Row],[waste_treatment_recycling_percent]]</f>
        <v>95</v>
      </c>
      <c r="Q74" t="str" cm="1">
        <f t="array" ref="Q74">_xlfn.SWITCH(
    TRUE(),
    J74&gt;=40, "High",
    J74&gt;=20, "Medium",
    J74&lt;20,  "Low"
)</f>
        <v>Low</v>
      </c>
    </row>
    <row r="75" spans="1:17" x14ac:dyDescent="0.35">
      <c r="A75" t="s">
        <v>170</v>
      </c>
      <c r="B75" t="s">
        <v>22</v>
      </c>
      <c r="C75" t="s">
        <v>171</v>
      </c>
      <c r="D75" t="s">
        <v>20</v>
      </c>
      <c r="E75">
        <v>2180.8557129999999</v>
      </c>
      <c r="F75" t="str">
        <f>_xlfn.XLOOKUP(D75, Income_Lookup[income_id], Income_Lookup[income_label])</f>
        <v>Low income</v>
      </c>
      <c r="G75">
        <v>193440.54</v>
      </c>
      <c r="I75">
        <v>1311349</v>
      </c>
      <c r="O75">
        <f>ROUND(country_level_data[[#This Row],[total_msw_total_msw_generated_tons_year]]*1000/country_level_data[[#This Row],[population_population_number_of_people]],2)</f>
        <v>147.51</v>
      </c>
      <c r="P75">
        <f>100-country_level_data[[#This Row],[waste_treatment_recycling_percent]]</f>
        <v>100</v>
      </c>
      <c r="Q75" t="str" cm="1">
        <f t="array" ref="Q75">_xlfn.SWITCH(
    TRUE(),
    J75&gt;=40, "High",
    J75&gt;=20, "Medium",
    J75&lt;20,  "Low"
)</f>
        <v>Low</v>
      </c>
    </row>
    <row r="76" spans="1:17" x14ac:dyDescent="0.35">
      <c r="A76" t="s">
        <v>172</v>
      </c>
      <c r="B76" t="s">
        <v>22</v>
      </c>
      <c r="C76" t="s">
        <v>173</v>
      </c>
      <c r="D76" t="s">
        <v>20</v>
      </c>
      <c r="E76">
        <v>1800.0686040000001</v>
      </c>
      <c r="F76" t="str">
        <f>_xlfn.XLOOKUP(D76, Income_Lookup[income_id], Income_Lookup[income_label])</f>
        <v>Low income</v>
      </c>
      <c r="G76">
        <v>289514</v>
      </c>
      <c r="I76">
        <v>1770526</v>
      </c>
      <c r="O76">
        <f>ROUND(country_level_data[[#This Row],[total_msw_total_msw_generated_tons_year]]*1000/country_level_data[[#This Row],[population_population_number_of_people]],2)</f>
        <v>163.52000000000001</v>
      </c>
      <c r="P76">
        <f>100-country_level_data[[#This Row],[waste_treatment_recycling_percent]]</f>
        <v>100</v>
      </c>
      <c r="Q76" t="str" cm="1">
        <f t="array" ref="Q76">_xlfn.SWITCH(
    TRUE(),
    J76&gt;=40, "High",
    J76&gt;=20, "Medium",
    J76&lt;20,  "Low"
)</f>
        <v>Low</v>
      </c>
    </row>
    <row r="77" spans="1:17" x14ac:dyDescent="0.35">
      <c r="A77" t="s">
        <v>174</v>
      </c>
      <c r="B77" t="s">
        <v>22</v>
      </c>
      <c r="C77" t="s">
        <v>175</v>
      </c>
      <c r="D77" t="s">
        <v>28</v>
      </c>
      <c r="E77">
        <v>24827.072270000001</v>
      </c>
      <c r="F77" t="str">
        <f>_xlfn.XLOOKUP(D77, Income_Lookup[income_id], Income_Lookup[income_label])</f>
        <v>Upper-middle income</v>
      </c>
      <c r="G77">
        <v>198443.06</v>
      </c>
      <c r="I77">
        <v>1221490</v>
      </c>
      <c r="O77">
        <f>ROUND(country_level_data[[#This Row],[total_msw_total_msw_generated_tons_year]]*1000/country_level_data[[#This Row],[population_population_number_of_people]],2)</f>
        <v>162.46</v>
      </c>
      <c r="P77">
        <f>100-country_level_data[[#This Row],[waste_treatment_recycling_percent]]</f>
        <v>100</v>
      </c>
      <c r="Q77" t="str" cm="1">
        <f t="array" ref="Q77">_xlfn.SWITCH(
    TRUE(),
    J77&gt;=40, "High",
    J77&gt;=20, "Medium",
    J77&lt;20,  "Low"
)</f>
        <v>Low</v>
      </c>
    </row>
    <row r="78" spans="1:17" x14ac:dyDescent="0.35">
      <c r="A78" t="s">
        <v>176</v>
      </c>
      <c r="B78" t="s">
        <v>26</v>
      </c>
      <c r="C78" t="s">
        <v>177</v>
      </c>
      <c r="D78" t="s">
        <v>16</v>
      </c>
      <c r="E78">
        <v>30465.449219999999</v>
      </c>
      <c r="F78" t="str">
        <f>_xlfn.XLOOKUP(D78, Income_Lookup[income_id], Income_Lookup[income_label])</f>
        <v>High income</v>
      </c>
      <c r="G78">
        <v>5615352.5</v>
      </c>
      <c r="I78">
        <v>10716322</v>
      </c>
      <c r="J78">
        <v>19</v>
      </c>
      <c r="O78">
        <f>ROUND(country_level_data[[#This Row],[total_msw_total_msw_generated_tons_year]]*1000/country_level_data[[#This Row],[population_population_number_of_people]],2)</f>
        <v>524</v>
      </c>
      <c r="P78">
        <f>100-country_level_data[[#This Row],[waste_treatment_recycling_percent]]</f>
        <v>81</v>
      </c>
      <c r="Q78" t="str" cm="1">
        <f t="array" ref="Q78">_xlfn.SWITCH(
    TRUE(),
    J78&gt;=40, "High",
    J78&gt;=20, "Medium",
    J78&lt;20,  "Low"
)</f>
        <v>Low</v>
      </c>
    </row>
    <row r="79" spans="1:17" x14ac:dyDescent="0.35">
      <c r="A79" t="s">
        <v>178</v>
      </c>
      <c r="B79" t="s">
        <v>14</v>
      </c>
      <c r="C79" t="s">
        <v>179</v>
      </c>
      <c r="D79" t="s">
        <v>28</v>
      </c>
      <c r="E79">
        <v>13207.71191</v>
      </c>
      <c r="F79" t="str">
        <f>_xlfn.XLOOKUP(D79, Income_Lookup[income_id], Income_Lookup[income_label])</f>
        <v>Upper-middle income</v>
      </c>
      <c r="G79">
        <v>29536.113939999999</v>
      </c>
      <c r="I79">
        <v>105481</v>
      </c>
      <c r="K79">
        <v>98.3</v>
      </c>
      <c r="N79">
        <v>0.2</v>
      </c>
      <c r="O79">
        <f>ROUND(country_level_data[[#This Row],[total_msw_total_msw_generated_tons_year]]*1000/country_level_data[[#This Row],[population_population_number_of_people]],2)</f>
        <v>280.01</v>
      </c>
      <c r="P79">
        <f>100-country_level_data[[#This Row],[waste_treatment_recycling_percent]]</f>
        <v>100</v>
      </c>
      <c r="Q79" t="str" cm="1">
        <f t="array" ref="Q79">_xlfn.SWITCH(
    TRUE(),
    J79&gt;=40, "High",
    J79&gt;=20, "Medium",
    J79&lt;20,  "Low"
)</f>
        <v>Low</v>
      </c>
    </row>
    <row r="80" spans="1:17" x14ac:dyDescent="0.35">
      <c r="A80" t="s">
        <v>180</v>
      </c>
      <c r="B80" t="s">
        <v>26</v>
      </c>
      <c r="C80" t="s">
        <v>181</v>
      </c>
      <c r="D80" t="s">
        <v>16</v>
      </c>
      <c r="E80">
        <v>43948.5625</v>
      </c>
      <c r="F80" t="str">
        <f>_xlfn.XLOOKUP(D80, Income_Lookup[income_id], Income_Lookup[income_label])</f>
        <v>High income</v>
      </c>
      <c r="G80">
        <v>50000</v>
      </c>
      <c r="I80">
        <v>56905</v>
      </c>
      <c r="M80">
        <v>40</v>
      </c>
      <c r="O80">
        <f>ROUND(country_level_data[[#This Row],[total_msw_total_msw_generated_tons_year]]*1000/country_level_data[[#This Row],[population_population_number_of_people]],2)</f>
        <v>878.66</v>
      </c>
      <c r="P80">
        <f>100-country_level_data[[#This Row],[waste_treatment_recycling_percent]]</f>
        <v>100</v>
      </c>
      <c r="Q80" t="str" cm="1">
        <f t="array" ref="Q80">_xlfn.SWITCH(
    TRUE(),
    J80&gt;=40, "High",
    J80&gt;=20, "Medium",
    J80&lt;20,  "Low"
)</f>
        <v>Low</v>
      </c>
    </row>
    <row r="81" spans="1:17" x14ac:dyDescent="0.35">
      <c r="A81" t="s">
        <v>182</v>
      </c>
      <c r="B81" t="s">
        <v>14</v>
      </c>
      <c r="C81" t="s">
        <v>183</v>
      </c>
      <c r="D81" t="s">
        <v>28</v>
      </c>
      <c r="E81">
        <v>8125.3647460000002</v>
      </c>
      <c r="F81" t="str">
        <f>_xlfn.XLOOKUP(D81, Income_Lookup[income_id], Income_Lookup[income_label])</f>
        <v>Upper-middle income</v>
      </c>
      <c r="G81">
        <v>2756740.9709999999</v>
      </c>
      <c r="H81">
        <v>77.7</v>
      </c>
      <c r="I81">
        <v>16252429</v>
      </c>
      <c r="K81">
        <v>9.6</v>
      </c>
      <c r="L81">
        <v>69.8</v>
      </c>
      <c r="O81">
        <f>ROUND(country_level_data[[#This Row],[total_msw_total_msw_generated_tons_year]]*1000/country_level_data[[#This Row],[population_population_number_of_people]],2)</f>
        <v>169.62</v>
      </c>
      <c r="P81">
        <f>100-country_level_data[[#This Row],[waste_treatment_recycling_percent]]</f>
        <v>100</v>
      </c>
      <c r="Q81" t="str" cm="1">
        <f t="array" ref="Q81">_xlfn.SWITCH(
    TRUE(),
    J81&gt;=40, "High",
    J81&gt;=20, "Medium",
    J81&lt;20,  "Low"
)</f>
        <v>Low</v>
      </c>
    </row>
    <row r="82" spans="1:17" x14ac:dyDescent="0.35">
      <c r="A82" t="s">
        <v>184</v>
      </c>
      <c r="B82" t="s">
        <v>39</v>
      </c>
      <c r="C82" t="s">
        <v>185</v>
      </c>
      <c r="D82" t="s">
        <v>16</v>
      </c>
      <c r="E82">
        <v>59074.941409999999</v>
      </c>
      <c r="F82" t="str">
        <f>_xlfn.XLOOKUP(D82, Income_Lookup[income_id], Income_Lookup[income_label])</f>
        <v>High income</v>
      </c>
      <c r="G82">
        <v>141500</v>
      </c>
      <c r="H82">
        <v>100</v>
      </c>
      <c r="I82">
        <v>159973</v>
      </c>
      <c r="J82">
        <v>17.850000000000001</v>
      </c>
      <c r="O82">
        <f>ROUND(country_level_data[[#This Row],[total_msw_total_msw_generated_tons_year]]*1000/country_level_data[[#This Row],[population_population_number_of_people]],2)</f>
        <v>884.52</v>
      </c>
      <c r="P82">
        <f>100-country_level_data[[#This Row],[waste_treatment_recycling_percent]]</f>
        <v>82.15</v>
      </c>
      <c r="Q82" t="str" cm="1">
        <f t="array" ref="Q82">_xlfn.SWITCH(
    TRUE(),
    J82&gt;=40, "High",
    J82&gt;=20, "Medium",
    J82&lt;20,  "Low"
)</f>
        <v>Low</v>
      </c>
    </row>
    <row r="83" spans="1:17" x14ac:dyDescent="0.35">
      <c r="A83" t="s">
        <v>186</v>
      </c>
      <c r="B83" t="s">
        <v>14</v>
      </c>
      <c r="C83" t="s">
        <v>187</v>
      </c>
      <c r="D83" t="s">
        <v>28</v>
      </c>
      <c r="E83">
        <v>9812.0898440000001</v>
      </c>
      <c r="F83" t="str">
        <f>_xlfn.XLOOKUP(D83, Income_Lookup[income_id], Income_Lookup[income_label])</f>
        <v>Upper-middle income</v>
      </c>
      <c r="G83">
        <v>179251.5</v>
      </c>
      <c r="H83">
        <v>89</v>
      </c>
      <c r="I83">
        <v>746556</v>
      </c>
      <c r="J83">
        <v>0.54</v>
      </c>
      <c r="O83">
        <f>ROUND(country_level_data[[#This Row],[total_msw_total_msw_generated_tons_year]]*1000/country_level_data[[#This Row],[population_population_number_of_people]],2)</f>
        <v>240.1</v>
      </c>
      <c r="P83">
        <f>100-country_level_data[[#This Row],[waste_treatment_recycling_percent]]</f>
        <v>99.46</v>
      </c>
      <c r="Q83" t="str" cm="1">
        <f t="array" ref="Q83">_xlfn.SWITCH(
    TRUE(),
    J83&gt;=40, "High",
    J83&gt;=20, "Medium",
    J83&lt;20,  "Low"
)</f>
        <v>Low</v>
      </c>
    </row>
    <row r="84" spans="1:17" x14ac:dyDescent="0.35">
      <c r="A84" t="s">
        <v>188</v>
      </c>
      <c r="B84" t="s">
        <v>39</v>
      </c>
      <c r="C84" t="s">
        <v>189</v>
      </c>
      <c r="D84" t="s">
        <v>16</v>
      </c>
      <c r="E84">
        <v>57215.96875</v>
      </c>
      <c r="F84" t="str">
        <f>_xlfn.XLOOKUP(D84, Income_Lookup[income_id], Income_Lookup[income_label])</f>
        <v>High income</v>
      </c>
      <c r="G84">
        <v>5679816.4649999999</v>
      </c>
      <c r="H84">
        <v>100</v>
      </c>
      <c r="I84">
        <v>7305700</v>
      </c>
      <c r="J84">
        <v>34</v>
      </c>
      <c r="O84">
        <f>ROUND(country_level_data[[#This Row],[total_msw_total_msw_generated_tons_year]]*1000/country_level_data[[#This Row],[population_population_number_of_people]],2)</f>
        <v>777.45</v>
      </c>
      <c r="P84">
        <f>100-country_level_data[[#This Row],[waste_treatment_recycling_percent]]</f>
        <v>66</v>
      </c>
      <c r="Q84" t="str" cm="1">
        <f t="array" ref="Q84">_xlfn.SWITCH(
    TRUE(),
    J84&gt;=40, "High",
    J84&gt;=20, "Medium",
    J84&lt;20,  "Low"
)</f>
        <v>Medium</v>
      </c>
    </row>
    <row r="85" spans="1:17" x14ac:dyDescent="0.35">
      <c r="A85" t="s">
        <v>190</v>
      </c>
      <c r="B85" t="s">
        <v>14</v>
      </c>
      <c r="C85" t="s">
        <v>191</v>
      </c>
      <c r="D85" t="s">
        <v>24</v>
      </c>
      <c r="E85">
        <v>5395.6137699999999</v>
      </c>
      <c r="F85" t="str">
        <f>_xlfn.XLOOKUP(D85, Income_Lookup[income_id], Income_Lookup[income_label])</f>
        <v>Lower-middle income</v>
      </c>
      <c r="G85">
        <v>2162027.696</v>
      </c>
      <c r="H85">
        <v>64.599999999999994</v>
      </c>
      <c r="I85">
        <v>9112867</v>
      </c>
      <c r="K85">
        <v>59.9</v>
      </c>
      <c r="L85">
        <v>15</v>
      </c>
      <c r="O85">
        <f>ROUND(country_level_data[[#This Row],[total_msw_total_msw_generated_tons_year]]*1000/country_level_data[[#This Row],[population_population_number_of_people]],2)</f>
        <v>237.25</v>
      </c>
      <c r="P85">
        <f>100-country_level_data[[#This Row],[waste_treatment_recycling_percent]]</f>
        <v>100</v>
      </c>
      <c r="Q85" t="str" cm="1">
        <f t="array" ref="Q85">_xlfn.SWITCH(
    TRUE(),
    J85&gt;=40, "High",
    J85&gt;=20, "Medium",
    J85&lt;20,  "Low"
)</f>
        <v>Low</v>
      </c>
    </row>
    <row r="86" spans="1:17" x14ac:dyDescent="0.35">
      <c r="A86" t="s">
        <v>192</v>
      </c>
      <c r="B86" t="s">
        <v>26</v>
      </c>
      <c r="C86" t="s">
        <v>193</v>
      </c>
      <c r="D86" t="s">
        <v>16</v>
      </c>
      <c r="E86">
        <v>28829.355469999999</v>
      </c>
      <c r="F86" t="str">
        <f>_xlfn.XLOOKUP(D86, Income_Lookup[income_id], Income_Lookup[income_label])</f>
        <v>High income</v>
      </c>
      <c r="G86">
        <v>1810037.5</v>
      </c>
      <c r="I86">
        <v>4067500</v>
      </c>
      <c r="J86">
        <v>16.32</v>
      </c>
      <c r="N86">
        <v>1.69</v>
      </c>
      <c r="O86">
        <f>ROUND(country_level_data[[#This Row],[total_msw_total_msw_generated_tons_year]]*1000/country_level_data[[#This Row],[population_population_number_of_people]],2)</f>
        <v>445</v>
      </c>
      <c r="P86">
        <f>100-country_level_data[[#This Row],[waste_treatment_recycling_percent]]</f>
        <v>83.68</v>
      </c>
      <c r="Q86" t="str" cm="1">
        <f t="array" ref="Q86">_xlfn.SWITCH(
    TRUE(),
    J86&gt;=40, "High",
    J86&gt;=20, "Medium",
    J86&lt;20,  "Low"
)</f>
        <v>Low</v>
      </c>
    </row>
    <row r="87" spans="1:17" x14ac:dyDescent="0.35">
      <c r="A87" t="s">
        <v>194</v>
      </c>
      <c r="B87" t="s">
        <v>14</v>
      </c>
      <c r="C87" t="s">
        <v>195</v>
      </c>
      <c r="D87" t="s">
        <v>20</v>
      </c>
      <c r="E87">
        <v>2952.6186520000001</v>
      </c>
      <c r="F87" t="str">
        <f>_xlfn.XLOOKUP(D87, Income_Lookup[income_id], Income_Lookup[income_label])</f>
        <v>Low income</v>
      </c>
      <c r="G87">
        <v>2309852.4550000001</v>
      </c>
      <c r="I87">
        <v>10847334</v>
      </c>
      <c r="K87">
        <v>9.94</v>
      </c>
      <c r="O87">
        <f>ROUND(country_level_data[[#This Row],[total_msw_total_msw_generated_tons_year]]*1000/country_level_data[[#This Row],[population_population_number_of_people]],2)</f>
        <v>212.94</v>
      </c>
      <c r="P87">
        <f>100-country_level_data[[#This Row],[waste_treatment_recycling_percent]]</f>
        <v>100</v>
      </c>
      <c r="Q87" t="str" cm="1">
        <f t="array" ref="Q87">_xlfn.SWITCH(
    TRUE(),
    J87&gt;=40, "High",
    J87&gt;=20, "Medium",
    J87&lt;20,  "Low"
)</f>
        <v>Low</v>
      </c>
    </row>
    <row r="88" spans="1:17" x14ac:dyDescent="0.35">
      <c r="A88" t="s">
        <v>196</v>
      </c>
      <c r="B88" t="s">
        <v>26</v>
      </c>
      <c r="C88" t="s">
        <v>197</v>
      </c>
      <c r="D88" t="s">
        <v>16</v>
      </c>
      <c r="E88">
        <v>32643.490229999999</v>
      </c>
      <c r="F88" t="str">
        <f>_xlfn.XLOOKUP(D88, Income_Lookup[income_id], Income_Lookup[income_label])</f>
        <v>High income</v>
      </c>
      <c r="G88">
        <v>3780970.25</v>
      </c>
      <c r="I88">
        <v>9769949</v>
      </c>
      <c r="J88">
        <v>25.94</v>
      </c>
      <c r="M88">
        <v>14.14</v>
      </c>
      <c r="N88">
        <v>6.22</v>
      </c>
      <c r="O88">
        <f>ROUND(country_level_data[[#This Row],[total_msw_total_msw_generated_tons_year]]*1000/country_level_data[[#This Row],[population_population_number_of_people]],2)</f>
        <v>387</v>
      </c>
      <c r="P88">
        <f>100-country_level_data[[#This Row],[waste_treatment_recycling_percent]]</f>
        <v>74.06</v>
      </c>
      <c r="Q88" t="str" cm="1">
        <f t="array" ref="Q88">_xlfn.SWITCH(
    TRUE(),
    J88&gt;=40, "High",
    J88&gt;=20, "Medium",
    J88&lt;20,  "Low"
)</f>
        <v>Medium</v>
      </c>
    </row>
    <row r="89" spans="1:17" x14ac:dyDescent="0.35">
      <c r="A89" t="s">
        <v>198</v>
      </c>
      <c r="B89" t="s">
        <v>39</v>
      </c>
      <c r="C89" t="s">
        <v>199</v>
      </c>
      <c r="D89" t="s">
        <v>24</v>
      </c>
      <c r="E89">
        <v>10531.19824</v>
      </c>
      <c r="F89" t="str">
        <f>_xlfn.XLOOKUP(D89, Income_Lookup[income_id], Income_Lookup[income_label])</f>
        <v>Lower-middle income</v>
      </c>
      <c r="G89">
        <v>65200000</v>
      </c>
      <c r="H89">
        <v>45</v>
      </c>
      <c r="I89">
        <v>261115456</v>
      </c>
      <c r="J89">
        <v>7</v>
      </c>
      <c r="L89">
        <v>10</v>
      </c>
      <c r="O89">
        <f>ROUND(country_level_data[[#This Row],[total_msw_total_msw_generated_tons_year]]*1000/country_level_data[[#This Row],[population_population_number_of_people]],2)</f>
        <v>249.7</v>
      </c>
      <c r="P89">
        <f>100-country_level_data[[#This Row],[waste_treatment_recycling_percent]]</f>
        <v>93</v>
      </c>
      <c r="Q89" t="str" cm="1">
        <f t="array" ref="Q89">_xlfn.SWITCH(
    TRUE(),
    J89&gt;=40, "High",
    J89&gt;=20, "Medium",
    J89&lt;20,  "Low"
)</f>
        <v>Low</v>
      </c>
    </row>
    <row r="90" spans="1:17" x14ac:dyDescent="0.35">
      <c r="A90" t="s">
        <v>200</v>
      </c>
      <c r="B90" t="s">
        <v>26</v>
      </c>
      <c r="C90" t="s">
        <v>201</v>
      </c>
      <c r="D90" t="s">
        <v>16</v>
      </c>
      <c r="E90">
        <v>44203.621090000001</v>
      </c>
      <c r="F90" t="str">
        <f>_xlfn.XLOOKUP(D90, Income_Lookup[income_id], Income_Lookup[income_label])</f>
        <v>High income</v>
      </c>
      <c r="G90">
        <v>50551</v>
      </c>
      <c r="I90">
        <v>80759</v>
      </c>
      <c r="J90">
        <v>50</v>
      </c>
      <c r="M90">
        <v>25</v>
      </c>
      <c r="O90">
        <f>ROUND(country_level_data[[#This Row],[total_msw_total_msw_generated_tons_year]]*1000/country_level_data[[#This Row],[population_population_number_of_people]],2)</f>
        <v>625.95000000000005</v>
      </c>
      <c r="P90">
        <f>100-country_level_data[[#This Row],[waste_treatment_recycling_percent]]</f>
        <v>50</v>
      </c>
      <c r="Q90" t="str" cm="1">
        <f t="array" ref="Q90">_xlfn.SWITCH(
    TRUE(),
    J90&gt;=40, "High",
    J90&gt;=20, "Medium",
    J90&lt;20,  "Low"
)</f>
        <v>High</v>
      </c>
    </row>
    <row r="91" spans="1:17" x14ac:dyDescent="0.35">
      <c r="A91" t="s">
        <v>202</v>
      </c>
      <c r="B91" t="s">
        <v>18</v>
      </c>
      <c r="C91" t="s">
        <v>203</v>
      </c>
      <c r="D91" t="s">
        <v>24</v>
      </c>
      <c r="E91">
        <v>6496.8076170000004</v>
      </c>
      <c r="F91" t="str">
        <f>_xlfn.XLOOKUP(D91, Income_Lookup[income_id], Income_Lookup[income_label])</f>
        <v>Lower-middle income</v>
      </c>
      <c r="G91">
        <v>189750000</v>
      </c>
      <c r="I91">
        <v>1352617344</v>
      </c>
      <c r="J91">
        <v>5</v>
      </c>
      <c r="L91">
        <v>77</v>
      </c>
      <c r="N91">
        <v>18</v>
      </c>
      <c r="O91">
        <f>ROUND(country_level_data[[#This Row],[total_msw_total_msw_generated_tons_year]]*1000/country_level_data[[#This Row],[population_population_number_of_people]],2)</f>
        <v>140.28</v>
      </c>
      <c r="P91">
        <f>100-country_level_data[[#This Row],[waste_treatment_recycling_percent]]</f>
        <v>95</v>
      </c>
      <c r="Q91" t="str" cm="1">
        <f t="array" ref="Q91">_xlfn.SWITCH(
    TRUE(),
    J91&gt;=40, "High",
    J91&gt;=20, "Medium",
    J91&lt;20,  "Low"
)</f>
        <v>Low</v>
      </c>
    </row>
    <row r="92" spans="1:17" x14ac:dyDescent="0.35">
      <c r="A92" t="s">
        <v>204</v>
      </c>
      <c r="B92" t="s">
        <v>26</v>
      </c>
      <c r="C92" t="s">
        <v>205</v>
      </c>
      <c r="D92" t="s">
        <v>16</v>
      </c>
      <c r="E92">
        <v>83388.71875</v>
      </c>
      <c r="F92" t="str">
        <f>_xlfn.XLOOKUP(D92, Income_Lookup[income_id], Income_Lookup[income_label])</f>
        <v>High income</v>
      </c>
      <c r="G92">
        <v>2910655</v>
      </c>
      <c r="I92">
        <v>4867316</v>
      </c>
      <c r="J92">
        <v>33</v>
      </c>
      <c r="K92">
        <v>41</v>
      </c>
      <c r="M92">
        <v>17</v>
      </c>
      <c r="N92">
        <v>6</v>
      </c>
      <c r="O92">
        <f>ROUND(country_level_data[[#This Row],[total_msw_total_msw_generated_tons_year]]*1000/country_level_data[[#This Row],[population_population_number_of_people]],2)</f>
        <v>598</v>
      </c>
      <c r="P92">
        <f>100-country_level_data[[#This Row],[waste_treatment_recycling_percent]]</f>
        <v>67</v>
      </c>
      <c r="Q92" t="str" cm="1">
        <f t="array" ref="Q92">_xlfn.SWITCH(
    TRUE(),
    J92&gt;=40, "High",
    J92&gt;=20, "Medium",
    J92&lt;20,  "Low"
)</f>
        <v>Medium</v>
      </c>
    </row>
    <row r="93" spans="1:17" x14ac:dyDescent="0.35">
      <c r="A93" t="s">
        <v>206</v>
      </c>
      <c r="B93" t="s">
        <v>32</v>
      </c>
      <c r="C93" t="s">
        <v>207</v>
      </c>
      <c r="D93" t="s">
        <v>28</v>
      </c>
      <c r="E93">
        <v>14535.862300000001</v>
      </c>
      <c r="F93" t="str">
        <f>_xlfn.XLOOKUP(D93, Income_Lookup[income_id], Income_Lookup[income_label])</f>
        <v>Upper-middle income</v>
      </c>
      <c r="G93">
        <v>17885000</v>
      </c>
      <c r="H93">
        <v>100</v>
      </c>
      <c r="I93">
        <v>80277424</v>
      </c>
      <c r="J93">
        <v>5</v>
      </c>
      <c r="K93">
        <v>10</v>
      </c>
      <c r="L93">
        <v>72</v>
      </c>
      <c r="M93">
        <v>0.4</v>
      </c>
      <c r="N93">
        <v>12</v>
      </c>
      <c r="O93">
        <f>ROUND(country_level_data[[#This Row],[total_msw_total_msw_generated_tons_year]]*1000/country_level_data[[#This Row],[population_population_number_of_people]],2)</f>
        <v>222.79</v>
      </c>
      <c r="P93">
        <f>100-country_level_data[[#This Row],[waste_treatment_recycling_percent]]</f>
        <v>95</v>
      </c>
      <c r="Q93" t="str" cm="1">
        <f t="array" ref="Q93">_xlfn.SWITCH(
    TRUE(),
    J93&gt;=40, "High",
    J93&gt;=20, "Medium",
    J93&lt;20,  "Low"
)</f>
        <v>Low</v>
      </c>
    </row>
    <row r="94" spans="1:17" x14ac:dyDescent="0.35">
      <c r="A94" t="s">
        <v>208</v>
      </c>
      <c r="B94" t="s">
        <v>32</v>
      </c>
      <c r="C94" t="s">
        <v>209</v>
      </c>
      <c r="D94" t="s">
        <v>28</v>
      </c>
      <c r="E94">
        <v>10310.679690000001</v>
      </c>
      <c r="F94" t="str">
        <f>_xlfn.XLOOKUP(D94, Income_Lookup[income_id], Income_Lookup[income_label])</f>
        <v>Upper-middle income</v>
      </c>
      <c r="G94">
        <v>13140000</v>
      </c>
      <c r="H94">
        <v>76</v>
      </c>
      <c r="I94">
        <v>36115648</v>
      </c>
      <c r="L94">
        <v>100</v>
      </c>
      <c r="O94">
        <f>ROUND(country_level_data[[#This Row],[total_msw_total_msw_generated_tons_year]]*1000/country_level_data[[#This Row],[population_population_number_of_people]],2)</f>
        <v>363.83</v>
      </c>
      <c r="P94">
        <f>100-country_level_data[[#This Row],[waste_treatment_recycling_percent]]</f>
        <v>100</v>
      </c>
      <c r="Q94" t="str" cm="1">
        <f t="array" ref="Q94">_xlfn.SWITCH(
    TRUE(),
    J94&gt;=40, "High",
    J94&gt;=20, "Medium",
    J94&lt;20,  "Low"
)</f>
        <v>Low</v>
      </c>
    </row>
    <row r="95" spans="1:17" x14ac:dyDescent="0.35">
      <c r="A95" t="s">
        <v>210</v>
      </c>
      <c r="B95" t="s">
        <v>26</v>
      </c>
      <c r="C95" t="s">
        <v>211</v>
      </c>
      <c r="D95" t="s">
        <v>16</v>
      </c>
      <c r="E95">
        <v>55274.1875</v>
      </c>
      <c r="F95" t="str">
        <f>_xlfn.XLOOKUP(D95, Income_Lookup[income_id], Income_Lookup[income_label])</f>
        <v>High income</v>
      </c>
      <c r="G95">
        <v>225270.4063</v>
      </c>
      <c r="H95">
        <v>100</v>
      </c>
      <c r="I95">
        <v>343400</v>
      </c>
      <c r="J95">
        <v>55.81</v>
      </c>
      <c r="M95">
        <v>1.9</v>
      </c>
      <c r="N95">
        <v>2.86</v>
      </c>
      <c r="O95">
        <f>ROUND(country_level_data[[#This Row],[total_msw_total_msw_generated_tons_year]]*1000/country_level_data[[#This Row],[population_population_number_of_people]],2)</f>
        <v>656</v>
      </c>
      <c r="P95">
        <f>100-country_level_data[[#This Row],[waste_treatment_recycling_percent]]</f>
        <v>44.19</v>
      </c>
      <c r="Q95" t="str" cm="1">
        <f t="array" ref="Q95">_xlfn.SWITCH(
    TRUE(),
    J95&gt;=40, "High",
    J95&gt;=20, "Medium",
    J95&lt;20,  "Low"
)</f>
        <v>High</v>
      </c>
    </row>
    <row r="96" spans="1:17" x14ac:dyDescent="0.35">
      <c r="A96" t="s">
        <v>212</v>
      </c>
      <c r="B96" t="s">
        <v>32</v>
      </c>
      <c r="C96" t="s">
        <v>213</v>
      </c>
      <c r="D96" t="s">
        <v>16</v>
      </c>
      <c r="E96">
        <v>37687.746090000001</v>
      </c>
      <c r="F96" t="str">
        <f>_xlfn.XLOOKUP(D96, Income_Lookup[income_id], Income_Lookup[income_label])</f>
        <v>High income</v>
      </c>
      <c r="G96">
        <v>5400000</v>
      </c>
      <c r="I96">
        <v>8380100</v>
      </c>
      <c r="J96">
        <v>25</v>
      </c>
      <c r="O96">
        <f>ROUND(country_level_data[[#This Row],[total_msw_total_msw_generated_tons_year]]*1000/country_level_data[[#This Row],[population_population_number_of_people]],2)</f>
        <v>644.38</v>
      </c>
      <c r="P96">
        <f>100-country_level_data[[#This Row],[waste_treatment_recycling_percent]]</f>
        <v>75</v>
      </c>
      <c r="Q96" t="str" cm="1">
        <f t="array" ref="Q96">_xlfn.SWITCH(
    TRUE(),
    J96&gt;=40, "High",
    J96&gt;=20, "Medium",
    J96&lt;20,  "Low"
)</f>
        <v>Medium</v>
      </c>
    </row>
    <row r="97" spans="1:17" x14ac:dyDescent="0.35">
      <c r="A97" t="s">
        <v>214</v>
      </c>
      <c r="B97" t="s">
        <v>26</v>
      </c>
      <c r="C97" t="s">
        <v>215</v>
      </c>
      <c r="D97" t="s">
        <v>16</v>
      </c>
      <c r="E97">
        <v>42419.722659999999</v>
      </c>
      <c r="F97" t="str">
        <f>_xlfn.XLOOKUP(D97, Income_Lookup[income_id], Income_Lookup[income_label])</f>
        <v>High income</v>
      </c>
      <c r="G97">
        <v>30088400</v>
      </c>
      <c r="I97">
        <v>60297396</v>
      </c>
      <c r="J97">
        <v>25.9</v>
      </c>
      <c r="M97">
        <v>19</v>
      </c>
      <c r="N97">
        <v>17.600000000000001</v>
      </c>
      <c r="O97">
        <f>ROUND(country_level_data[[#This Row],[total_msw_total_msw_generated_tons_year]]*1000/country_level_data[[#This Row],[population_population_number_of_people]],2)</f>
        <v>499</v>
      </c>
      <c r="P97">
        <f>100-country_level_data[[#This Row],[waste_treatment_recycling_percent]]</f>
        <v>74.099999999999994</v>
      </c>
      <c r="Q97" t="str" cm="1">
        <f t="array" ref="Q97">_xlfn.SWITCH(
    TRUE(),
    J97&gt;=40, "High",
    J97&gt;=20, "Medium",
    J97&lt;20,  "Low"
)</f>
        <v>Medium</v>
      </c>
    </row>
    <row r="98" spans="1:17" x14ac:dyDescent="0.35">
      <c r="A98" t="s">
        <v>216</v>
      </c>
      <c r="B98" t="s">
        <v>14</v>
      </c>
      <c r="C98" t="s">
        <v>217</v>
      </c>
      <c r="D98" t="s">
        <v>28</v>
      </c>
      <c r="E98">
        <v>9550.8105469999991</v>
      </c>
      <c r="F98" t="str">
        <f>_xlfn.XLOOKUP(D98, Income_Lookup[income_id], Income_Lookup[income_label])</f>
        <v>Upper-middle income</v>
      </c>
      <c r="G98">
        <v>1051694.575</v>
      </c>
      <c r="H98">
        <v>76</v>
      </c>
      <c r="I98">
        <v>2881355</v>
      </c>
      <c r="K98">
        <v>64</v>
      </c>
      <c r="O98">
        <f>ROUND(country_level_data[[#This Row],[total_msw_total_msw_generated_tons_year]]*1000/country_level_data[[#This Row],[population_population_number_of_people]],2)</f>
        <v>365</v>
      </c>
      <c r="P98">
        <f>100-country_level_data[[#This Row],[waste_treatment_recycling_percent]]</f>
        <v>100</v>
      </c>
      <c r="Q98" t="str" cm="1">
        <f t="array" ref="Q98">_xlfn.SWITCH(
    TRUE(),
    J98&gt;=40, "High",
    J98&gt;=20, "Medium",
    J98&lt;20,  "Low"
)</f>
        <v>Low</v>
      </c>
    </row>
    <row r="99" spans="1:17" x14ac:dyDescent="0.35">
      <c r="A99" t="s">
        <v>218</v>
      </c>
      <c r="B99" t="s">
        <v>32</v>
      </c>
      <c r="C99" t="s">
        <v>219</v>
      </c>
      <c r="D99" t="s">
        <v>28</v>
      </c>
      <c r="E99">
        <v>10413.17578</v>
      </c>
      <c r="F99" t="str">
        <f>_xlfn.XLOOKUP(D99, Income_Lookup[income_id], Income_Lookup[income_label])</f>
        <v>Upper-middle income</v>
      </c>
      <c r="G99">
        <v>2529997</v>
      </c>
      <c r="I99">
        <v>8413464</v>
      </c>
      <c r="J99">
        <v>7</v>
      </c>
      <c r="L99">
        <v>45</v>
      </c>
      <c r="O99">
        <f>ROUND(country_level_data[[#This Row],[total_msw_total_msw_generated_tons_year]]*1000/country_level_data[[#This Row],[population_population_number_of_people]],2)</f>
        <v>300.70999999999998</v>
      </c>
      <c r="P99">
        <f>100-country_level_data[[#This Row],[waste_treatment_recycling_percent]]</f>
        <v>93</v>
      </c>
      <c r="Q99" t="str" cm="1">
        <f t="array" ref="Q99">_xlfn.SWITCH(
    TRUE(),
    J99&gt;=40, "High",
    J99&gt;=20, "Medium",
    J99&lt;20,  "Low"
)</f>
        <v>Low</v>
      </c>
    </row>
    <row r="100" spans="1:17" x14ac:dyDescent="0.35">
      <c r="A100" t="s">
        <v>220</v>
      </c>
      <c r="B100" t="s">
        <v>39</v>
      </c>
      <c r="C100" t="s">
        <v>221</v>
      </c>
      <c r="D100" t="s">
        <v>16</v>
      </c>
      <c r="E100">
        <v>41309.957029999998</v>
      </c>
      <c r="F100" t="str">
        <f>_xlfn.XLOOKUP(D100, Income_Lookup[income_id], Income_Lookup[income_label])</f>
        <v>High income</v>
      </c>
      <c r="G100">
        <v>42720000</v>
      </c>
      <c r="H100">
        <v>99.9</v>
      </c>
      <c r="I100">
        <v>126529104</v>
      </c>
      <c r="J100">
        <v>4.9000000000000004</v>
      </c>
      <c r="K100">
        <v>1.1000000000000001</v>
      </c>
      <c r="M100">
        <v>80.2</v>
      </c>
      <c r="N100">
        <v>0.4</v>
      </c>
      <c r="O100">
        <f>ROUND(country_level_data[[#This Row],[total_msw_total_msw_generated_tons_year]]*1000/country_level_data[[#This Row],[population_population_number_of_people]],2)</f>
        <v>337.63</v>
      </c>
      <c r="P100">
        <f>100-country_level_data[[#This Row],[waste_treatment_recycling_percent]]</f>
        <v>95.1</v>
      </c>
      <c r="Q100" t="str" cm="1">
        <f t="array" ref="Q100">_xlfn.SWITCH(
    TRUE(),
    J100&gt;=40, "High",
    J100&gt;=20, "Medium",
    J100&lt;20,  "Low"
)</f>
        <v>Low</v>
      </c>
    </row>
    <row r="101" spans="1:17" x14ac:dyDescent="0.35">
      <c r="A101" t="s">
        <v>222</v>
      </c>
      <c r="B101" t="s">
        <v>26</v>
      </c>
      <c r="C101" t="s">
        <v>223</v>
      </c>
      <c r="D101" t="s">
        <v>28</v>
      </c>
      <c r="E101">
        <v>22702.58008</v>
      </c>
      <c r="F101" t="str">
        <f>_xlfn.XLOOKUP(D101, Income_Lookup[income_id], Income_Lookup[income_label])</f>
        <v>Upper-middle income</v>
      </c>
      <c r="G101">
        <v>4659740</v>
      </c>
      <c r="H101">
        <v>77</v>
      </c>
      <c r="I101">
        <v>16791424</v>
      </c>
      <c r="J101">
        <v>2.92</v>
      </c>
      <c r="L101">
        <v>60.1</v>
      </c>
      <c r="O101">
        <f>ROUND(country_level_data[[#This Row],[total_msw_total_msw_generated_tons_year]]*1000/country_level_data[[#This Row],[population_population_number_of_people]],2)</f>
        <v>277.51</v>
      </c>
      <c r="P101">
        <f>100-country_level_data[[#This Row],[waste_treatment_recycling_percent]]</f>
        <v>97.08</v>
      </c>
      <c r="Q101" t="str" cm="1">
        <f t="array" ref="Q101">_xlfn.SWITCH(
    TRUE(),
    J101&gt;=40, "High",
    J101&gt;=20, "Medium",
    J101&lt;20,  "Low"
)</f>
        <v>Low</v>
      </c>
    </row>
    <row r="102" spans="1:17" x14ac:dyDescent="0.35">
      <c r="A102" t="s">
        <v>224</v>
      </c>
      <c r="B102" t="s">
        <v>22</v>
      </c>
      <c r="C102" t="s">
        <v>225</v>
      </c>
      <c r="D102" t="s">
        <v>24</v>
      </c>
      <c r="E102">
        <v>3329.8544919999999</v>
      </c>
      <c r="F102" t="str">
        <f>_xlfn.XLOOKUP(D102, Income_Lookup[income_id], Income_Lookup[income_label])</f>
        <v>Lower-middle income</v>
      </c>
      <c r="G102">
        <v>5595099</v>
      </c>
      <c r="H102">
        <v>40</v>
      </c>
      <c r="I102">
        <v>41350152</v>
      </c>
      <c r="J102">
        <v>8</v>
      </c>
      <c r="O102">
        <f>ROUND(country_level_data[[#This Row],[total_msw_total_msw_generated_tons_year]]*1000/country_level_data[[#This Row],[population_population_number_of_people]],2)</f>
        <v>135.31</v>
      </c>
      <c r="P102">
        <f>100-country_level_data[[#This Row],[waste_treatment_recycling_percent]]</f>
        <v>92</v>
      </c>
      <c r="Q102" t="str" cm="1">
        <f t="array" ref="Q102">_xlfn.SWITCH(
    TRUE(),
    J102&gt;=40, "High",
    J102&gt;=20, "Medium",
    J102&lt;20,  "Low"
)</f>
        <v>Low</v>
      </c>
    </row>
    <row r="103" spans="1:17" x14ac:dyDescent="0.35">
      <c r="A103" t="s">
        <v>226</v>
      </c>
      <c r="B103" t="s">
        <v>26</v>
      </c>
      <c r="C103" t="s">
        <v>227</v>
      </c>
      <c r="D103" t="s">
        <v>24</v>
      </c>
      <c r="E103">
        <v>4805.1411129999997</v>
      </c>
      <c r="F103" t="str">
        <f>_xlfn.XLOOKUP(D103, Income_Lookup[income_id], Income_Lookup[income_label])</f>
        <v>Lower-middle income</v>
      </c>
      <c r="G103">
        <v>1113300</v>
      </c>
      <c r="I103">
        <v>5956900</v>
      </c>
      <c r="L103">
        <v>100</v>
      </c>
      <c r="O103">
        <f>ROUND(country_level_data[[#This Row],[total_msw_total_msw_generated_tons_year]]*1000/country_level_data[[#This Row],[population_population_number_of_people]],2)</f>
        <v>186.89</v>
      </c>
      <c r="P103">
        <f>100-country_level_data[[#This Row],[waste_treatment_recycling_percent]]</f>
        <v>100</v>
      </c>
      <c r="Q103" t="str" cm="1">
        <f t="array" ref="Q103">_xlfn.SWITCH(
    TRUE(),
    J103&gt;=40, "High",
    J103&gt;=20, "Medium",
    J103&lt;20,  "Low"
)</f>
        <v>Low</v>
      </c>
    </row>
    <row r="104" spans="1:17" x14ac:dyDescent="0.35">
      <c r="A104" t="s">
        <v>228</v>
      </c>
      <c r="B104" t="s">
        <v>39</v>
      </c>
      <c r="C104" t="s">
        <v>229</v>
      </c>
      <c r="D104" t="s">
        <v>24</v>
      </c>
      <c r="E104">
        <v>3364.2788089999999</v>
      </c>
      <c r="F104" t="str">
        <f>_xlfn.XLOOKUP(D104, Income_Lookup[income_id], Income_Lookup[income_label])</f>
        <v>Lower-middle income</v>
      </c>
      <c r="G104">
        <v>1089000</v>
      </c>
      <c r="I104">
        <v>15270790</v>
      </c>
      <c r="O104">
        <f>ROUND(country_level_data[[#This Row],[total_msw_total_msw_generated_tons_year]]*1000/country_level_data[[#This Row],[population_population_number_of_people]],2)</f>
        <v>71.31</v>
      </c>
      <c r="P104">
        <f>100-country_level_data[[#This Row],[waste_treatment_recycling_percent]]</f>
        <v>100</v>
      </c>
      <c r="Q104" t="str" cm="1">
        <f t="array" ref="Q104">_xlfn.SWITCH(
    TRUE(),
    J104&gt;=40, "High",
    J104&gt;=20, "Medium",
    J104&lt;20,  "Low"
)</f>
        <v>Low</v>
      </c>
    </row>
    <row r="105" spans="1:17" x14ac:dyDescent="0.35">
      <c r="A105" t="s">
        <v>230</v>
      </c>
      <c r="B105" t="s">
        <v>39</v>
      </c>
      <c r="C105" t="s">
        <v>231</v>
      </c>
      <c r="D105" t="s">
        <v>24</v>
      </c>
      <c r="E105">
        <v>2249.7685550000001</v>
      </c>
      <c r="F105" t="str">
        <f>_xlfn.XLOOKUP(D105, Income_Lookup[income_id], Income_Lookup[income_label])</f>
        <v>Lower-middle income</v>
      </c>
      <c r="G105">
        <v>35723.827499999999</v>
      </c>
      <c r="H105">
        <v>54</v>
      </c>
      <c r="I105">
        <v>114395</v>
      </c>
      <c r="O105">
        <f>ROUND(country_level_data[[#This Row],[total_msw_total_msw_generated_tons_year]]*1000/country_level_data[[#This Row],[population_population_number_of_people]],2)</f>
        <v>312.27999999999997</v>
      </c>
      <c r="P105">
        <f>100-country_level_data[[#This Row],[waste_treatment_recycling_percent]]</f>
        <v>100</v>
      </c>
      <c r="Q105" t="str" cm="1">
        <f t="array" ref="Q105">_xlfn.SWITCH(
    TRUE(),
    J105&gt;=40, "High",
    J105&gt;=20, "Medium",
    J105&lt;20,  "Low"
)</f>
        <v>Low</v>
      </c>
    </row>
    <row r="106" spans="1:17" x14ac:dyDescent="0.35">
      <c r="A106" t="s">
        <v>232</v>
      </c>
      <c r="B106" t="s">
        <v>14</v>
      </c>
      <c r="C106" t="s">
        <v>233</v>
      </c>
      <c r="D106" t="s">
        <v>16</v>
      </c>
      <c r="E106">
        <v>25569.35742</v>
      </c>
      <c r="F106" t="str">
        <f>_xlfn.XLOOKUP(D106, Income_Lookup[income_id], Income_Lookup[income_label])</f>
        <v>High income</v>
      </c>
      <c r="G106">
        <v>32892.14</v>
      </c>
      <c r="H106">
        <v>95</v>
      </c>
      <c r="I106">
        <v>54288</v>
      </c>
      <c r="K106">
        <v>100</v>
      </c>
      <c r="O106">
        <f>ROUND(country_level_data[[#This Row],[total_msw_total_msw_generated_tons_year]]*1000/country_level_data[[#This Row],[population_population_number_of_people]],2)</f>
        <v>605.88</v>
      </c>
      <c r="P106">
        <f>100-country_level_data[[#This Row],[waste_treatment_recycling_percent]]</f>
        <v>100</v>
      </c>
      <c r="Q106" t="str" cm="1">
        <f t="array" ref="Q106">_xlfn.SWITCH(
    TRUE(),
    J106&gt;=40, "High",
    J106&gt;=20, "Medium",
    J106&lt;20,  "Low"
)</f>
        <v>Low</v>
      </c>
    </row>
    <row r="107" spans="1:17" x14ac:dyDescent="0.35">
      <c r="A107" t="s">
        <v>234</v>
      </c>
      <c r="B107" t="s">
        <v>39</v>
      </c>
      <c r="C107" t="s">
        <v>235</v>
      </c>
      <c r="D107" t="s">
        <v>16</v>
      </c>
      <c r="E107">
        <v>42105.28125</v>
      </c>
      <c r="F107" t="str">
        <f>_xlfn.XLOOKUP(D107, Income_Lookup[income_id], Income_Lookup[income_label])</f>
        <v>High income</v>
      </c>
      <c r="G107">
        <v>20452776</v>
      </c>
      <c r="H107">
        <v>99.92</v>
      </c>
      <c r="I107">
        <v>51606632</v>
      </c>
      <c r="J107">
        <v>58</v>
      </c>
      <c r="M107">
        <v>25</v>
      </c>
      <c r="N107">
        <v>1</v>
      </c>
      <c r="O107">
        <f>ROUND(country_level_data[[#This Row],[total_msw_total_msw_generated_tons_year]]*1000/country_level_data[[#This Row],[population_population_number_of_people]],2)</f>
        <v>396.32</v>
      </c>
      <c r="P107">
        <f>100-country_level_data[[#This Row],[waste_treatment_recycling_percent]]</f>
        <v>42</v>
      </c>
      <c r="Q107" t="str" cm="1">
        <f t="array" ref="Q107">_xlfn.SWITCH(
    TRUE(),
    J107&gt;=40, "High",
    J107&gt;=20, "Medium",
    J107&lt;20,  "Low"
)</f>
        <v>High</v>
      </c>
    </row>
    <row r="108" spans="1:17" x14ac:dyDescent="0.35">
      <c r="A108" t="s">
        <v>236</v>
      </c>
      <c r="B108" t="s">
        <v>32</v>
      </c>
      <c r="C108" t="s">
        <v>237</v>
      </c>
      <c r="D108" t="s">
        <v>16</v>
      </c>
      <c r="E108">
        <v>58810.300779999998</v>
      </c>
      <c r="F108" t="str">
        <f>_xlfn.XLOOKUP(D108, Income_Lookup[income_id], Income_Lookup[income_label])</f>
        <v>High income</v>
      </c>
      <c r="G108">
        <v>1750000</v>
      </c>
      <c r="H108">
        <v>100</v>
      </c>
      <c r="I108">
        <v>2998083</v>
      </c>
      <c r="L108">
        <v>100</v>
      </c>
      <c r="O108">
        <f>ROUND(country_level_data[[#This Row],[total_msw_total_msw_generated_tons_year]]*1000/country_level_data[[#This Row],[population_population_number_of_people]],2)</f>
        <v>583.71</v>
      </c>
      <c r="P108">
        <f>100-country_level_data[[#This Row],[waste_treatment_recycling_percent]]</f>
        <v>100</v>
      </c>
      <c r="Q108" t="str" cm="1">
        <f t="array" ref="Q108">_xlfn.SWITCH(
    TRUE(),
    J108&gt;=40, "High",
    J108&gt;=20, "Medium",
    J108&lt;20,  "Low"
)</f>
        <v>Low</v>
      </c>
    </row>
    <row r="109" spans="1:17" x14ac:dyDescent="0.35">
      <c r="A109" t="s">
        <v>238</v>
      </c>
      <c r="B109" t="s">
        <v>39</v>
      </c>
      <c r="C109" t="s">
        <v>239</v>
      </c>
      <c r="D109" t="s">
        <v>24</v>
      </c>
      <c r="E109">
        <v>6543.6669920000004</v>
      </c>
      <c r="F109" t="str">
        <f>_xlfn.XLOOKUP(D109, Income_Lookup[income_id], Income_Lookup[income_label])</f>
        <v>Lower-middle income</v>
      </c>
      <c r="G109">
        <v>351900</v>
      </c>
      <c r="I109">
        <v>6663967</v>
      </c>
      <c r="J109">
        <v>10</v>
      </c>
      <c r="K109">
        <v>30</v>
      </c>
      <c r="L109">
        <v>60</v>
      </c>
      <c r="O109">
        <f>ROUND(country_level_data[[#This Row],[total_msw_total_msw_generated_tons_year]]*1000/country_level_data[[#This Row],[population_population_number_of_people]],2)</f>
        <v>52.81</v>
      </c>
      <c r="P109">
        <f>100-country_level_data[[#This Row],[waste_treatment_recycling_percent]]</f>
        <v>90</v>
      </c>
      <c r="Q109" t="str" cm="1">
        <f t="array" ref="Q109">_xlfn.SWITCH(
    TRUE(),
    J109&gt;=40, "High",
    J109&gt;=20, "Medium",
    J109&lt;20,  "Low"
)</f>
        <v>Low</v>
      </c>
    </row>
    <row r="110" spans="1:17" x14ac:dyDescent="0.35">
      <c r="A110" t="s">
        <v>240</v>
      </c>
      <c r="B110" t="s">
        <v>32</v>
      </c>
      <c r="C110" t="s">
        <v>241</v>
      </c>
      <c r="D110" t="s">
        <v>28</v>
      </c>
      <c r="E110">
        <v>16966.740229999999</v>
      </c>
      <c r="F110" t="str">
        <f>_xlfn.XLOOKUP(D110, Income_Lookup[income_id], Income_Lookup[income_label])</f>
        <v>Upper-middle income</v>
      </c>
      <c r="G110">
        <v>2040000</v>
      </c>
      <c r="I110">
        <v>5603279</v>
      </c>
      <c r="J110">
        <v>8</v>
      </c>
      <c r="K110">
        <v>48</v>
      </c>
      <c r="L110">
        <v>29</v>
      </c>
      <c r="N110">
        <v>15</v>
      </c>
      <c r="O110">
        <f>ROUND(country_level_data[[#This Row],[total_msw_total_msw_generated_tons_year]]*1000/country_level_data[[#This Row],[population_population_number_of_people]],2)</f>
        <v>364.07</v>
      </c>
      <c r="P110">
        <f>100-country_level_data[[#This Row],[waste_treatment_recycling_percent]]</f>
        <v>92</v>
      </c>
      <c r="Q110" t="str" cm="1">
        <f t="array" ref="Q110">_xlfn.SWITCH(
    TRUE(),
    J110&gt;=40, "High",
    J110&gt;=20, "Medium",
    J110&lt;20,  "Low"
)</f>
        <v>Low</v>
      </c>
    </row>
    <row r="111" spans="1:17" x14ac:dyDescent="0.35">
      <c r="A111" t="s">
        <v>242</v>
      </c>
      <c r="B111" t="s">
        <v>22</v>
      </c>
      <c r="C111" t="s">
        <v>243</v>
      </c>
      <c r="D111" t="s">
        <v>20</v>
      </c>
      <c r="E111">
        <v>1333.422241</v>
      </c>
      <c r="F111" t="str">
        <f>_xlfn.XLOOKUP(D111, Income_Lookup[income_id], Income_Lookup[income_label])</f>
        <v>Low income</v>
      </c>
      <c r="G111">
        <v>564466.69999999995</v>
      </c>
      <c r="I111">
        <v>3512932</v>
      </c>
      <c r="O111">
        <f>ROUND(country_level_data[[#This Row],[total_msw_total_msw_generated_tons_year]]*1000/country_level_data[[#This Row],[population_population_number_of_people]],2)</f>
        <v>160.68</v>
      </c>
      <c r="P111">
        <f>100-country_level_data[[#This Row],[waste_treatment_recycling_percent]]</f>
        <v>100</v>
      </c>
      <c r="Q111" t="str" cm="1">
        <f t="array" ref="Q111">_xlfn.SWITCH(
    TRUE(),
    J111&gt;=40, "High",
    J111&gt;=20, "Medium",
    J111&lt;20,  "Low"
)</f>
        <v>Low</v>
      </c>
    </row>
    <row r="112" spans="1:17" x14ac:dyDescent="0.35">
      <c r="A112" t="s">
        <v>244</v>
      </c>
      <c r="B112" t="s">
        <v>32</v>
      </c>
      <c r="C112" t="s">
        <v>245</v>
      </c>
      <c r="D112" t="s">
        <v>28</v>
      </c>
      <c r="E112">
        <v>8479.9462889999995</v>
      </c>
      <c r="F112" t="str">
        <f>_xlfn.XLOOKUP(D112, Income_Lookup[income_id], Income_Lookup[income_label])</f>
        <v>Upper-middle income</v>
      </c>
      <c r="G112">
        <v>2147596.4720000001</v>
      </c>
      <c r="I112">
        <v>6193501</v>
      </c>
      <c r="O112">
        <f>ROUND(country_level_data[[#This Row],[total_msw_total_msw_generated_tons_year]]*1000/country_level_data[[#This Row],[population_population_number_of_people]],2)</f>
        <v>346.75</v>
      </c>
      <c r="P112">
        <f>100-country_level_data[[#This Row],[waste_treatment_recycling_percent]]</f>
        <v>100</v>
      </c>
      <c r="Q112" t="str" cm="1">
        <f t="array" ref="Q112">_xlfn.SWITCH(
    TRUE(),
    J112&gt;=40, "High",
    J112&gt;=20, "Medium",
    J112&lt;20,  "Low"
)</f>
        <v>Low</v>
      </c>
    </row>
    <row r="113" spans="1:17" x14ac:dyDescent="0.35">
      <c r="A113" t="s">
        <v>246</v>
      </c>
      <c r="B113" t="s">
        <v>14</v>
      </c>
      <c r="C113" t="s">
        <v>247</v>
      </c>
      <c r="D113" t="s">
        <v>28</v>
      </c>
      <c r="E113">
        <v>14029.98242</v>
      </c>
      <c r="F113" t="str">
        <f>_xlfn.XLOOKUP(D113, Income_Lookup[income_id], Income_Lookup[income_label])</f>
        <v>Upper-middle income</v>
      </c>
      <c r="G113">
        <v>77616.228000000003</v>
      </c>
      <c r="H113">
        <v>100</v>
      </c>
      <c r="I113">
        <v>177206</v>
      </c>
      <c r="K113">
        <v>96.8</v>
      </c>
      <c r="N113">
        <v>0.1</v>
      </c>
      <c r="O113">
        <f>ROUND(country_level_data[[#This Row],[total_msw_total_msw_generated_tons_year]]*1000/country_level_data[[#This Row],[population_population_number_of_people]],2)</f>
        <v>438</v>
      </c>
      <c r="P113">
        <f>100-country_level_data[[#This Row],[waste_treatment_recycling_percent]]</f>
        <v>100</v>
      </c>
      <c r="Q113" t="str" cm="1">
        <f t="array" ref="Q113">_xlfn.SWITCH(
    TRUE(),
    J113&gt;=40, "High",
    J113&gt;=20, "Medium",
    J113&lt;20,  "Low"
)</f>
        <v>Low</v>
      </c>
    </row>
    <row r="114" spans="1:17" x14ac:dyDescent="0.35">
      <c r="A114" t="s">
        <v>248</v>
      </c>
      <c r="B114" t="s">
        <v>26</v>
      </c>
      <c r="C114" t="s">
        <v>249</v>
      </c>
      <c r="D114" t="s">
        <v>16</v>
      </c>
      <c r="E114">
        <v>45726.988279999998</v>
      </c>
      <c r="F114" t="str">
        <f>_xlfn.XLOOKUP(D114, Income_Lookup[income_id], Income_Lookup[income_label])</f>
        <v>High income</v>
      </c>
      <c r="G114">
        <v>32382</v>
      </c>
      <c r="H114">
        <v>100</v>
      </c>
      <c r="I114">
        <v>36545</v>
      </c>
      <c r="J114">
        <v>64.599999999999994</v>
      </c>
      <c r="O114">
        <f>ROUND(country_level_data[[#This Row],[total_msw_total_msw_generated_tons_year]]*1000/country_level_data[[#This Row],[population_population_number_of_people]],2)</f>
        <v>886.09</v>
      </c>
      <c r="P114">
        <f>100-country_level_data[[#This Row],[waste_treatment_recycling_percent]]</f>
        <v>35.400000000000006</v>
      </c>
      <c r="Q114" t="str" cm="1">
        <f t="array" ref="Q114">_xlfn.SWITCH(
    TRUE(),
    J114&gt;=40, "High",
    J114&gt;=20, "Medium",
    J114&lt;20,  "Low"
)</f>
        <v>High</v>
      </c>
    </row>
    <row r="115" spans="1:17" x14ac:dyDescent="0.35">
      <c r="A115" t="s">
        <v>250</v>
      </c>
      <c r="B115" t="s">
        <v>18</v>
      </c>
      <c r="C115" t="s">
        <v>251</v>
      </c>
      <c r="D115" t="s">
        <v>24</v>
      </c>
      <c r="E115">
        <v>12287.472659999999</v>
      </c>
      <c r="F115" t="str">
        <f>_xlfn.XLOOKUP(D115, Income_Lookup[income_id], Income_Lookup[income_label])</f>
        <v>Lower-middle income</v>
      </c>
      <c r="G115">
        <v>2631650</v>
      </c>
      <c r="I115">
        <v>21203000</v>
      </c>
      <c r="J115">
        <v>12.79</v>
      </c>
      <c r="L115">
        <v>85</v>
      </c>
      <c r="N115">
        <v>5</v>
      </c>
      <c r="O115">
        <f>ROUND(country_level_data[[#This Row],[total_msw_total_msw_generated_tons_year]]*1000/country_level_data[[#This Row],[population_population_number_of_people]],2)</f>
        <v>124.12</v>
      </c>
      <c r="P115">
        <f>100-country_level_data[[#This Row],[waste_treatment_recycling_percent]]</f>
        <v>87.210000000000008</v>
      </c>
      <c r="Q115" t="str" cm="1">
        <f t="array" ref="Q115">_xlfn.SWITCH(
    TRUE(),
    J115&gt;=40, "High",
    J115&gt;=20, "Medium",
    J115&lt;20,  "Low"
)</f>
        <v>Low</v>
      </c>
    </row>
    <row r="116" spans="1:17" x14ac:dyDescent="0.35">
      <c r="A116" t="s">
        <v>252</v>
      </c>
      <c r="B116" t="s">
        <v>22</v>
      </c>
      <c r="C116" t="s">
        <v>253</v>
      </c>
      <c r="D116" t="s">
        <v>24</v>
      </c>
      <c r="E116">
        <v>1978.6083980000001</v>
      </c>
      <c r="F116" t="str">
        <f>_xlfn.XLOOKUP(D116, Income_Lookup[income_id], Income_Lookup[income_label])</f>
        <v>Lower-middle income</v>
      </c>
      <c r="G116">
        <v>73457</v>
      </c>
      <c r="H116">
        <v>20</v>
      </c>
      <c r="I116">
        <v>1965662</v>
      </c>
      <c r="O116">
        <f>ROUND(country_level_data[[#This Row],[total_msw_total_msw_generated_tons_year]]*1000/country_level_data[[#This Row],[population_population_number_of_people]],2)</f>
        <v>37.369999999999997</v>
      </c>
      <c r="P116">
        <f>100-country_level_data[[#This Row],[waste_treatment_recycling_percent]]</f>
        <v>100</v>
      </c>
      <c r="Q116" t="str" cm="1">
        <f t="array" ref="Q116">_xlfn.SWITCH(
    TRUE(),
    J116&gt;=40, "High",
    J116&gt;=20, "Medium",
    J116&lt;20,  "Low"
)</f>
        <v>Low</v>
      </c>
    </row>
    <row r="117" spans="1:17" x14ac:dyDescent="0.35">
      <c r="A117" t="s">
        <v>254</v>
      </c>
      <c r="B117" t="s">
        <v>26</v>
      </c>
      <c r="C117" t="s">
        <v>255</v>
      </c>
      <c r="D117" t="s">
        <v>16</v>
      </c>
      <c r="E117">
        <v>37278.304689999997</v>
      </c>
      <c r="F117" t="str">
        <f>_xlfn.XLOOKUP(D117, Income_Lookup[income_id], Income_Lookup[income_label])</f>
        <v>High income</v>
      </c>
      <c r="G117">
        <v>1315390.375</v>
      </c>
      <c r="I117">
        <v>2786844</v>
      </c>
      <c r="J117">
        <v>22.92</v>
      </c>
      <c r="M117">
        <v>11.54</v>
      </c>
      <c r="N117">
        <v>10.15</v>
      </c>
      <c r="O117">
        <f>ROUND(country_level_data[[#This Row],[total_msw_total_msw_generated_tons_year]]*1000/country_level_data[[#This Row],[population_population_number_of_people]],2)</f>
        <v>472</v>
      </c>
      <c r="P117">
        <f>100-country_level_data[[#This Row],[waste_treatment_recycling_percent]]</f>
        <v>77.08</v>
      </c>
      <c r="Q117" t="str" cm="1">
        <f t="array" ref="Q117">_xlfn.SWITCH(
    TRUE(),
    J117&gt;=40, "High",
    J117&gt;=20, "Medium",
    J117&lt;20,  "Low"
)</f>
        <v>Medium</v>
      </c>
    </row>
    <row r="118" spans="1:17" x14ac:dyDescent="0.35">
      <c r="A118" t="s">
        <v>256</v>
      </c>
      <c r="B118" t="s">
        <v>26</v>
      </c>
      <c r="C118" t="s">
        <v>257</v>
      </c>
      <c r="D118" t="s">
        <v>16</v>
      </c>
      <c r="E118">
        <v>114323.4063</v>
      </c>
      <c r="F118" t="str">
        <f>_xlfn.XLOOKUP(D118, Income_Lookup[income_id], Income_Lookup[income_label])</f>
        <v>High income</v>
      </c>
      <c r="G118">
        <v>490337.75</v>
      </c>
      <c r="I118">
        <v>619896</v>
      </c>
      <c r="J118">
        <v>28.37</v>
      </c>
      <c r="M118">
        <v>33.99</v>
      </c>
      <c r="N118">
        <v>19.66</v>
      </c>
      <c r="O118">
        <f>ROUND(country_level_data[[#This Row],[total_msw_total_msw_generated_tons_year]]*1000/country_level_data[[#This Row],[population_population_number_of_people]],2)</f>
        <v>791</v>
      </c>
      <c r="P118">
        <f>100-country_level_data[[#This Row],[waste_treatment_recycling_percent]]</f>
        <v>71.63</v>
      </c>
      <c r="Q118" t="str" cm="1">
        <f t="array" ref="Q118">_xlfn.SWITCH(
    TRUE(),
    J118&gt;=40, "High",
    J118&gt;=20, "Medium",
    J118&lt;20,  "Low"
)</f>
        <v>Medium</v>
      </c>
    </row>
    <row r="119" spans="1:17" x14ac:dyDescent="0.35">
      <c r="A119" t="s">
        <v>258</v>
      </c>
      <c r="B119" t="s">
        <v>26</v>
      </c>
      <c r="C119" t="s">
        <v>259</v>
      </c>
      <c r="D119" t="s">
        <v>16</v>
      </c>
      <c r="E119">
        <v>30982.17383</v>
      </c>
      <c r="F119" t="str">
        <f>_xlfn.XLOOKUP(D119, Income_Lookup[income_id], Income_Lookup[income_label])</f>
        <v>High income</v>
      </c>
      <c r="G119">
        <v>839714.375</v>
      </c>
      <c r="I119">
        <v>1912789</v>
      </c>
      <c r="J119">
        <v>21.23</v>
      </c>
      <c r="N119">
        <v>5.48</v>
      </c>
      <c r="O119">
        <f>ROUND(country_level_data[[#This Row],[total_msw_total_msw_generated_tons_year]]*1000/country_level_data[[#This Row],[population_population_number_of_people]],2)</f>
        <v>439</v>
      </c>
      <c r="P119">
        <f>100-country_level_data[[#This Row],[waste_treatment_recycling_percent]]</f>
        <v>78.77</v>
      </c>
      <c r="Q119" t="str" cm="1">
        <f t="array" ref="Q119">_xlfn.SWITCH(
    TRUE(),
    J119&gt;=40, "High",
    J119&gt;=20, "Medium",
    J119&lt;20,  "Low"
)</f>
        <v>Medium</v>
      </c>
    </row>
    <row r="120" spans="1:17" x14ac:dyDescent="0.35">
      <c r="A120" t="s">
        <v>260</v>
      </c>
      <c r="B120" t="s">
        <v>39</v>
      </c>
      <c r="C120" t="s">
        <v>261</v>
      </c>
      <c r="D120" t="s">
        <v>16</v>
      </c>
      <c r="E120">
        <v>117335.58590000001</v>
      </c>
      <c r="F120" t="str">
        <f>_xlfn.XLOOKUP(D120, Income_Lookup[income_id], Income_Lookup[income_label])</f>
        <v>High income</v>
      </c>
      <c r="G120">
        <v>377942</v>
      </c>
      <c r="H120">
        <v>100</v>
      </c>
      <c r="I120">
        <v>612167</v>
      </c>
      <c r="J120">
        <v>20</v>
      </c>
      <c r="O120">
        <f>ROUND(country_level_data[[#This Row],[total_msw_total_msw_generated_tons_year]]*1000/country_level_data[[#This Row],[population_population_number_of_people]],2)</f>
        <v>617.38</v>
      </c>
      <c r="P120">
        <f>100-country_level_data[[#This Row],[waste_treatment_recycling_percent]]</f>
        <v>80</v>
      </c>
      <c r="Q120" t="str" cm="1">
        <f t="array" ref="Q120">_xlfn.SWITCH(
    TRUE(),
    J120&gt;=40, "High",
    J120&gt;=20, "Medium",
    J120&lt;20,  "Low"
)</f>
        <v>Medium</v>
      </c>
    </row>
    <row r="121" spans="1:17" x14ac:dyDescent="0.35">
      <c r="A121" t="s">
        <v>262</v>
      </c>
      <c r="B121" t="s">
        <v>14</v>
      </c>
      <c r="C121" t="s">
        <v>263</v>
      </c>
      <c r="D121" t="s">
        <v>16</v>
      </c>
      <c r="E121">
        <v>30385.894530000001</v>
      </c>
      <c r="F121" t="str">
        <f>_xlfn.XLOOKUP(D121, Income_Lookup[income_id], Income_Lookup[income_label])</f>
        <v>High income</v>
      </c>
      <c r="G121">
        <v>15479.5</v>
      </c>
      <c r="I121">
        <v>30959</v>
      </c>
      <c r="O121">
        <f>ROUND(country_level_data[[#This Row],[total_msw_total_msw_generated_tons_year]]*1000/country_level_data[[#This Row],[population_population_number_of_people]],2)</f>
        <v>500</v>
      </c>
      <c r="P121">
        <f>100-country_level_data[[#This Row],[waste_treatment_recycling_percent]]</f>
        <v>100</v>
      </c>
      <c r="Q121" t="str" cm="1">
        <f t="array" ref="Q121">_xlfn.SWITCH(
    TRUE(),
    J121&gt;=40, "High",
    J121&gt;=20, "Medium",
    J121&lt;20,  "Low"
)</f>
        <v>Low</v>
      </c>
    </row>
    <row r="122" spans="1:17" x14ac:dyDescent="0.35">
      <c r="A122" t="s">
        <v>264</v>
      </c>
      <c r="B122" t="s">
        <v>32</v>
      </c>
      <c r="C122" t="s">
        <v>265</v>
      </c>
      <c r="D122" t="s">
        <v>24</v>
      </c>
      <c r="E122">
        <v>6915.1030270000001</v>
      </c>
      <c r="F122" t="str">
        <f>_xlfn.XLOOKUP(D122, Income_Lookup[income_id], Income_Lookup[income_label])</f>
        <v>Lower-middle income</v>
      </c>
      <c r="G122">
        <v>6852000</v>
      </c>
      <c r="I122">
        <v>34318080</v>
      </c>
      <c r="J122">
        <v>8</v>
      </c>
      <c r="L122">
        <v>52</v>
      </c>
      <c r="N122">
        <v>1</v>
      </c>
      <c r="O122">
        <f>ROUND(country_level_data[[#This Row],[total_msw_total_msw_generated_tons_year]]*1000/country_level_data[[#This Row],[population_population_number_of_people]],2)</f>
        <v>199.66</v>
      </c>
      <c r="P122">
        <f>100-country_level_data[[#This Row],[waste_treatment_recycling_percent]]</f>
        <v>92</v>
      </c>
      <c r="Q122" t="str" cm="1">
        <f t="array" ref="Q122">_xlfn.SWITCH(
    TRUE(),
    J122&gt;=40, "High",
    J122&gt;=20, "Medium",
    J122&lt;20,  "Low"
)</f>
        <v>Low</v>
      </c>
    </row>
    <row r="123" spans="1:17" x14ac:dyDescent="0.35">
      <c r="A123" t="s">
        <v>266</v>
      </c>
      <c r="B123" t="s">
        <v>26</v>
      </c>
      <c r="C123" t="s">
        <v>267</v>
      </c>
      <c r="D123" t="s">
        <v>16</v>
      </c>
      <c r="E123">
        <v>43711.800779999998</v>
      </c>
      <c r="F123" t="str">
        <f>_xlfn.XLOOKUP(D123, Income_Lookup[income_id], Income_Lookup[income_label])</f>
        <v>High income</v>
      </c>
      <c r="G123">
        <v>46000</v>
      </c>
      <c r="H123">
        <v>100</v>
      </c>
      <c r="I123">
        <v>37783</v>
      </c>
      <c r="J123">
        <v>5.4</v>
      </c>
      <c r="M123">
        <v>85</v>
      </c>
      <c r="O123">
        <f>ROUND(country_level_data[[#This Row],[total_msw_total_msw_generated_tons_year]]*1000/country_level_data[[#This Row],[population_population_number_of_people]],2)</f>
        <v>1217.48</v>
      </c>
      <c r="P123">
        <f>100-country_level_data[[#This Row],[waste_treatment_recycling_percent]]</f>
        <v>94.6</v>
      </c>
      <c r="Q123" t="str" cm="1">
        <f t="array" ref="Q123">_xlfn.SWITCH(
    TRUE(),
    J123&gt;=40, "High",
    J123&gt;=20, "Medium",
    J123&lt;20,  "Low"
)</f>
        <v>Low</v>
      </c>
    </row>
    <row r="124" spans="1:17" x14ac:dyDescent="0.35">
      <c r="A124" t="s">
        <v>268</v>
      </c>
      <c r="B124" t="s">
        <v>26</v>
      </c>
      <c r="C124" t="s">
        <v>269</v>
      </c>
      <c r="D124" t="s">
        <v>24</v>
      </c>
      <c r="E124">
        <v>10360.83008</v>
      </c>
      <c r="F124" t="str">
        <f>_xlfn.XLOOKUP(D124, Income_Lookup[income_id], Income_Lookup[income_label])</f>
        <v>Lower-middle income</v>
      </c>
      <c r="G124">
        <v>3981200</v>
      </c>
      <c r="I124">
        <v>3554108</v>
      </c>
      <c r="J124">
        <v>15.32</v>
      </c>
      <c r="L124">
        <v>35.08</v>
      </c>
      <c r="O124">
        <f>ROUND(country_level_data[[#This Row],[total_msw_total_msw_generated_tons_year]]*1000/country_level_data[[#This Row],[population_population_number_of_people]],2)</f>
        <v>1120.17</v>
      </c>
      <c r="P124">
        <f>100-country_level_data[[#This Row],[waste_treatment_recycling_percent]]</f>
        <v>84.68</v>
      </c>
      <c r="Q124" t="str" cm="1">
        <f t="array" ref="Q124">_xlfn.SWITCH(
    TRUE(),
    J124&gt;=40, "High",
    J124&gt;=20, "Medium",
    J124&lt;20,  "Low"
)</f>
        <v>Low</v>
      </c>
    </row>
    <row r="125" spans="1:17" x14ac:dyDescent="0.35">
      <c r="A125" t="s">
        <v>270</v>
      </c>
      <c r="B125" t="s">
        <v>22</v>
      </c>
      <c r="C125" t="s">
        <v>271</v>
      </c>
      <c r="D125" t="s">
        <v>20</v>
      </c>
      <c r="E125">
        <v>1565.866943</v>
      </c>
      <c r="F125" t="str">
        <f>_xlfn.XLOOKUP(D125, Income_Lookup[income_id], Income_Lookup[income_label])</f>
        <v>Low income</v>
      </c>
      <c r="G125">
        <v>3768759.16</v>
      </c>
      <c r="H125">
        <v>17.7</v>
      </c>
      <c r="I125">
        <v>24894552</v>
      </c>
      <c r="L125">
        <v>96.7</v>
      </c>
      <c r="N125">
        <v>3.5</v>
      </c>
      <c r="O125">
        <f>ROUND(country_level_data[[#This Row],[total_msw_total_msw_generated_tons_year]]*1000/country_level_data[[#This Row],[population_population_number_of_people]],2)</f>
        <v>151.38999999999999</v>
      </c>
      <c r="P125">
        <f>100-country_level_data[[#This Row],[waste_treatment_recycling_percent]]</f>
        <v>100</v>
      </c>
      <c r="Q125" t="str" cm="1">
        <f t="array" ref="Q125">_xlfn.SWITCH(
    TRUE(),
    J125&gt;=40, "High",
    J125&gt;=20, "Medium",
    J125&lt;20,  "Low"
)</f>
        <v>Low</v>
      </c>
    </row>
    <row r="126" spans="1:17" x14ac:dyDescent="0.35">
      <c r="A126" t="s">
        <v>272</v>
      </c>
      <c r="B126" t="s">
        <v>18</v>
      </c>
      <c r="C126" t="s">
        <v>273</v>
      </c>
      <c r="D126" t="s">
        <v>28</v>
      </c>
      <c r="E126">
        <v>17284.609380000002</v>
      </c>
      <c r="F126" t="str">
        <f>_xlfn.XLOOKUP(D126, Income_Lookup[income_id], Income_Lookup[income_label])</f>
        <v>Upper-middle income</v>
      </c>
      <c r="G126">
        <v>211505.78</v>
      </c>
      <c r="H126">
        <v>38.200000000000003</v>
      </c>
      <c r="I126">
        <v>409163</v>
      </c>
      <c r="M126">
        <v>6</v>
      </c>
      <c r="N126">
        <v>7</v>
      </c>
      <c r="O126">
        <f>ROUND(country_level_data[[#This Row],[total_msw_total_msw_generated_tons_year]]*1000/country_level_data[[#This Row],[population_population_number_of_people]],2)</f>
        <v>516.91999999999996</v>
      </c>
      <c r="P126">
        <f>100-country_level_data[[#This Row],[waste_treatment_recycling_percent]]</f>
        <v>100</v>
      </c>
      <c r="Q126" t="str" cm="1">
        <f t="array" ref="Q126">_xlfn.SWITCH(
    TRUE(),
    J126&gt;=40, "High",
    J126&gt;=20, "Medium",
    J126&lt;20,  "Low"
)</f>
        <v>Low</v>
      </c>
    </row>
    <row r="127" spans="1:17" x14ac:dyDescent="0.35">
      <c r="A127" t="s">
        <v>274</v>
      </c>
      <c r="B127" t="s">
        <v>14</v>
      </c>
      <c r="C127" t="s">
        <v>275</v>
      </c>
      <c r="D127" t="s">
        <v>28</v>
      </c>
      <c r="E127">
        <v>19332.074219999999</v>
      </c>
      <c r="F127" t="str">
        <f>_xlfn.XLOOKUP(D127, Income_Lookup[income_id], Income_Lookup[income_label])</f>
        <v>Upper-middle income</v>
      </c>
      <c r="G127">
        <v>53100000</v>
      </c>
      <c r="I127">
        <v>125890952</v>
      </c>
      <c r="J127">
        <v>5</v>
      </c>
      <c r="L127">
        <v>21</v>
      </c>
      <c r="O127">
        <f>ROUND(country_level_data[[#This Row],[total_msw_total_msw_generated_tons_year]]*1000/country_level_data[[#This Row],[population_population_number_of_people]],2)</f>
        <v>421.79</v>
      </c>
      <c r="P127">
        <f>100-country_level_data[[#This Row],[waste_treatment_recycling_percent]]</f>
        <v>95</v>
      </c>
      <c r="Q127" t="str" cm="1">
        <f t="array" ref="Q127">_xlfn.SWITCH(
    TRUE(),
    J127&gt;=40, "High",
    J127&gt;=20, "Medium",
    J127&lt;20,  "Low"
)</f>
        <v>Low</v>
      </c>
    </row>
    <row r="128" spans="1:17" x14ac:dyDescent="0.35">
      <c r="A128" t="s">
        <v>276</v>
      </c>
      <c r="B128" t="s">
        <v>39</v>
      </c>
      <c r="C128" t="s">
        <v>277</v>
      </c>
      <c r="D128" t="s">
        <v>28</v>
      </c>
      <c r="E128">
        <v>3628.8952640000002</v>
      </c>
      <c r="F128" t="str">
        <f>_xlfn.XLOOKUP(D128, Income_Lookup[income_id], Income_Lookup[income_label])</f>
        <v>Upper-middle income</v>
      </c>
      <c r="G128">
        <v>8614</v>
      </c>
      <c r="H128">
        <v>49</v>
      </c>
      <c r="I128">
        <v>52793</v>
      </c>
      <c r="J128">
        <v>30.8</v>
      </c>
      <c r="N128">
        <v>6</v>
      </c>
      <c r="O128">
        <f>ROUND(country_level_data[[#This Row],[total_msw_total_msw_generated_tons_year]]*1000/country_level_data[[#This Row],[population_population_number_of_people]],2)</f>
        <v>163.16999999999999</v>
      </c>
      <c r="P128">
        <f>100-country_level_data[[#This Row],[waste_treatment_recycling_percent]]</f>
        <v>69.2</v>
      </c>
      <c r="Q128" t="str" cm="1">
        <f t="array" ref="Q128">_xlfn.SWITCH(
    TRUE(),
    J128&gt;=40, "High",
    J128&gt;=20, "Medium",
    J128&lt;20,  "Low"
)</f>
        <v>Medium</v>
      </c>
    </row>
    <row r="129" spans="1:17" x14ac:dyDescent="0.35">
      <c r="A129" t="s">
        <v>278</v>
      </c>
      <c r="B129" t="s">
        <v>26</v>
      </c>
      <c r="C129" t="s">
        <v>279</v>
      </c>
      <c r="D129" t="s">
        <v>28</v>
      </c>
      <c r="E129">
        <v>16147.72949</v>
      </c>
      <c r="F129" t="str">
        <f>_xlfn.XLOOKUP(D129, Income_Lookup[income_id], Income_Lookup[income_label])</f>
        <v>Upper-middle income</v>
      </c>
      <c r="G129">
        <v>626970.375</v>
      </c>
      <c r="H129">
        <v>73</v>
      </c>
      <c r="I129">
        <v>2082958</v>
      </c>
      <c r="J129">
        <v>0.18</v>
      </c>
      <c r="N129">
        <v>0.1</v>
      </c>
      <c r="O129">
        <f>ROUND(country_level_data[[#This Row],[total_msw_total_msw_generated_tons_year]]*1000/country_level_data[[#This Row],[population_population_number_of_people]],2)</f>
        <v>301</v>
      </c>
      <c r="P129">
        <f>100-country_level_data[[#This Row],[waste_treatment_recycling_percent]]</f>
        <v>99.82</v>
      </c>
      <c r="Q129" t="str" cm="1">
        <f t="array" ref="Q129">_xlfn.SWITCH(
    TRUE(),
    J129&gt;=40, "High",
    J129&gt;=20, "Medium",
    J129&lt;20,  "Low"
)</f>
        <v>Low</v>
      </c>
    </row>
    <row r="130" spans="1:17" x14ac:dyDescent="0.35">
      <c r="A130" t="s">
        <v>280</v>
      </c>
      <c r="B130" t="s">
        <v>22</v>
      </c>
      <c r="C130" t="s">
        <v>281</v>
      </c>
      <c r="D130" t="s">
        <v>20</v>
      </c>
      <c r="E130">
        <v>2007.80603</v>
      </c>
      <c r="F130" t="str">
        <f>_xlfn.XLOOKUP(D130, Income_Lookup[income_id], Income_Lookup[income_label])</f>
        <v>Low income</v>
      </c>
      <c r="G130">
        <v>1937354.44</v>
      </c>
      <c r="I130">
        <v>16006670</v>
      </c>
      <c r="O130">
        <f>ROUND(country_level_data[[#This Row],[total_msw_total_msw_generated_tons_year]]*1000/country_level_data[[#This Row],[population_population_number_of_people]],2)</f>
        <v>121.03</v>
      </c>
      <c r="P130">
        <f>100-country_level_data[[#This Row],[waste_treatment_recycling_percent]]</f>
        <v>100</v>
      </c>
      <c r="Q130" t="str" cm="1">
        <f t="array" ref="Q130">_xlfn.SWITCH(
    TRUE(),
    J130&gt;=40, "High",
    J130&gt;=20, "Medium",
    J130&lt;20,  "Low"
)</f>
        <v>Low</v>
      </c>
    </row>
    <row r="131" spans="1:17" x14ac:dyDescent="0.35">
      <c r="A131" t="s">
        <v>282</v>
      </c>
      <c r="B131" t="s">
        <v>32</v>
      </c>
      <c r="C131" t="s">
        <v>283</v>
      </c>
      <c r="D131" t="s">
        <v>16</v>
      </c>
      <c r="E131">
        <v>43707.539060000003</v>
      </c>
      <c r="F131" t="str">
        <f>_xlfn.XLOOKUP(D131, Income_Lookup[income_id], Income_Lookup[income_label])</f>
        <v>High income</v>
      </c>
      <c r="G131">
        <v>348841.1875</v>
      </c>
      <c r="I131">
        <v>502653</v>
      </c>
      <c r="J131">
        <v>6.69</v>
      </c>
      <c r="M131">
        <v>0.37</v>
      </c>
      <c r="O131">
        <f>ROUND(country_level_data[[#This Row],[total_msw_total_msw_generated_tons_year]]*1000/country_level_data[[#This Row],[population_population_number_of_people]],2)</f>
        <v>694</v>
      </c>
      <c r="P131">
        <f>100-country_level_data[[#This Row],[waste_treatment_recycling_percent]]</f>
        <v>93.31</v>
      </c>
      <c r="Q131" t="str" cm="1">
        <f t="array" ref="Q131">_xlfn.SWITCH(
    TRUE(),
    J131&gt;=40, "High",
    J131&gt;=20, "Medium",
    J131&lt;20,  "Low"
)</f>
        <v>Low</v>
      </c>
    </row>
    <row r="132" spans="1:17" x14ac:dyDescent="0.35">
      <c r="A132" t="s">
        <v>284</v>
      </c>
      <c r="B132" t="s">
        <v>39</v>
      </c>
      <c r="C132" t="s">
        <v>285</v>
      </c>
      <c r="D132" t="s">
        <v>24</v>
      </c>
      <c r="E132">
        <v>1093.788086</v>
      </c>
      <c r="F132" t="str">
        <f>_xlfn.XLOOKUP(D132, Income_Lookup[income_id], Income_Lookup[income_label])</f>
        <v>Lower-middle income</v>
      </c>
      <c r="G132">
        <v>4677306.5290000001</v>
      </c>
      <c r="H132">
        <v>60</v>
      </c>
      <c r="I132">
        <v>46095464</v>
      </c>
      <c r="O132">
        <f>ROUND(country_level_data[[#This Row],[total_msw_total_msw_generated_tons_year]]*1000/country_level_data[[#This Row],[population_population_number_of_people]],2)</f>
        <v>101.47</v>
      </c>
      <c r="P132">
        <f>100-country_level_data[[#This Row],[waste_treatment_recycling_percent]]</f>
        <v>100</v>
      </c>
      <c r="Q132" t="str" cm="1">
        <f t="array" ref="Q132">_xlfn.SWITCH(
    TRUE(),
    J132&gt;=40, "High",
    J132&gt;=20, "Medium",
    J132&lt;20,  "Low"
)</f>
        <v>Low</v>
      </c>
    </row>
    <row r="133" spans="1:17" x14ac:dyDescent="0.35">
      <c r="A133" t="s">
        <v>286</v>
      </c>
      <c r="B133" t="s">
        <v>26</v>
      </c>
      <c r="C133" t="s">
        <v>287</v>
      </c>
      <c r="D133" t="s">
        <v>28</v>
      </c>
      <c r="E133">
        <v>20752.621090000001</v>
      </c>
      <c r="F133" t="str">
        <f>_xlfn.XLOOKUP(D133, Income_Lookup[income_id], Income_Lookup[income_label])</f>
        <v>Upper-middle income</v>
      </c>
      <c r="G133">
        <v>329780.3125</v>
      </c>
      <c r="H133">
        <v>75.900000000000006</v>
      </c>
      <c r="I133">
        <v>622227</v>
      </c>
      <c r="J133">
        <v>5.42</v>
      </c>
      <c r="L133">
        <v>91.57</v>
      </c>
      <c r="O133">
        <f>ROUND(country_level_data[[#This Row],[total_msw_total_msw_generated_tons_year]]*1000/country_level_data[[#This Row],[population_population_number_of_people]],2)</f>
        <v>530</v>
      </c>
      <c r="P133">
        <f>100-country_level_data[[#This Row],[waste_treatment_recycling_percent]]</f>
        <v>94.58</v>
      </c>
      <c r="Q133" t="str" cm="1">
        <f t="array" ref="Q133">_xlfn.SWITCH(
    TRUE(),
    J133&gt;=40, "High",
    J133&gt;=20, "Medium",
    J133&lt;20,  "Low"
)</f>
        <v>Low</v>
      </c>
    </row>
    <row r="134" spans="1:17" x14ac:dyDescent="0.35">
      <c r="A134" t="s">
        <v>288</v>
      </c>
      <c r="B134" t="s">
        <v>39</v>
      </c>
      <c r="C134" t="s">
        <v>289</v>
      </c>
      <c r="D134" t="s">
        <v>24</v>
      </c>
      <c r="E134">
        <v>10940.41504</v>
      </c>
      <c r="F134" t="str">
        <f>_xlfn.XLOOKUP(D134, Income_Lookup[income_id], Income_Lookup[income_label])</f>
        <v>Lower-middle income</v>
      </c>
      <c r="G134">
        <v>2900000</v>
      </c>
      <c r="I134">
        <v>3027398</v>
      </c>
      <c r="L134">
        <v>93.5</v>
      </c>
      <c r="O134">
        <f>ROUND(country_level_data[[#This Row],[total_msw_total_msw_generated_tons_year]]*1000/country_level_data[[#This Row],[population_population_number_of_people]],2)</f>
        <v>957.92</v>
      </c>
      <c r="P134">
        <f>100-country_level_data[[#This Row],[waste_treatment_recycling_percent]]</f>
        <v>100</v>
      </c>
      <c r="Q134" t="str" cm="1">
        <f t="array" ref="Q134">_xlfn.SWITCH(
    TRUE(),
    J134&gt;=40, "High",
    J134&gt;=20, "Medium",
    J134&lt;20,  "Low"
)</f>
        <v>Low</v>
      </c>
    </row>
    <row r="135" spans="1:17" x14ac:dyDescent="0.35">
      <c r="A135" t="s">
        <v>290</v>
      </c>
      <c r="B135" t="s">
        <v>39</v>
      </c>
      <c r="C135" t="s">
        <v>291</v>
      </c>
      <c r="D135" t="s">
        <v>16</v>
      </c>
      <c r="E135">
        <v>60955.726560000003</v>
      </c>
      <c r="F135" t="str">
        <f>_xlfn.XLOOKUP(D135, Income_Lookup[income_id], Income_Lookup[income_label])</f>
        <v>High income</v>
      </c>
      <c r="G135">
        <v>32761.414499999999</v>
      </c>
      <c r="I135">
        <v>54036</v>
      </c>
      <c r="J135">
        <v>36</v>
      </c>
      <c r="O135">
        <f>ROUND(country_level_data[[#This Row],[total_msw_total_msw_generated_tons_year]]*1000/country_level_data[[#This Row],[population_population_number_of_people]],2)</f>
        <v>606.29</v>
      </c>
      <c r="P135">
        <f>100-country_level_data[[#This Row],[waste_treatment_recycling_percent]]</f>
        <v>64</v>
      </c>
      <c r="Q135" t="str" cm="1">
        <f t="array" ref="Q135">_xlfn.SWITCH(
    TRUE(),
    J135&gt;=40, "High",
    J135&gt;=20, "Medium",
    J135&lt;20,  "Low"
)</f>
        <v>Medium</v>
      </c>
    </row>
    <row r="136" spans="1:17" x14ac:dyDescent="0.35">
      <c r="A136" t="s">
        <v>292</v>
      </c>
      <c r="B136" t="s">
        <v>22</v>
      </c>
      <c r="C136" t="s">
        <v>293</v>
      </c>
      <c r="D136" t="s">
        <v>20</v>
      </c>
      <c r="E136">
        <v>1217.0902100000001</v>
      </c>
      <c r="F136" t="str">
        <f>_xlfn.XLOOKUP(D136, Income_Lookup[income_id], Income_Lookup[income_label])</f>
        <v>Low income</v>
      </c>
      <c r="G136">
        <v>2500000</v>
      </c>
      <c r="I136">
        <v>27212382</v>
      </c>
      <c r="J136">
        <v>1</v>
      </c>
      <c r="L136">
        <v>99</v>
      </c>
      <c r="O136">
        <f>ROUND(country_level_data[[#This Row],[total_msw_total_msw_generated_tons_year]]*1000/country_level_data[[#This Row],[population_population_number_of_people]],2)</f>
        <v>91.87</v>
      </c>
      <c r="P136">
        <f>100-country_level_data[[#This Row],[waste_treatment_recycling_percent]]</f>
        <v>99</v>
      </c>
      <c r="Q136" t="str" cm="1">
        <f t="array" ref="Q136">_xlfn.SWITCH(
    TRUE(),
    J136&gt;=40, "High",
    J136&gt;=20, "Medium",
    J136&lt;20,  "Low"
)</f>
        <v>Low</v>
      </c>
    </row>
    <row r="137" spans="1:17" x14ac:dyDescent="0.35">
      <c r="A137" t="s">
        <v>294</v>
      </c>
      <c r="B137" t="s">
        <v>22</v>
      </c>
      <c r="C137" t="s">
        <v>295</v>
      </c>
      <c r="D137" t="s">
        <v>24</v>
      </c>
      <c r="E137">
        <v>4783.6357420000004</v>
      </c>
      <c r="F137" t="str">
        <f>_xlfn.XLOOKUP(D137, Income_Lookup[income_id], Income_Lookup[income_label])</f>
        <v>Lower-middle income</v>
      </c>
      <c r="G137">
        <v>454000</v>
      </c>
      <c r="I137">
        <v>3506288</v>
      </c>
      <c r="J137">
        <v>8</v>
      </c>
      <c r="K137">
        <v>37.299999999999997</v>
      </c>
      <c r="L137">
        <v>54.7</v>
      </c>
      <c r="O137">
        <f>ROUND(country_level_data[[#This Row],[total_msw_total_msw_generated_tons_year]]*1000/country_level_data[[#This Row],[population_population_number_of_people]],2)</f>
        <v>129.47999999999999</v>
      </c>
      <c r="P137">
        <f>100-country_level_data[[#This Row],[waste_treatment_recycling_percent]]</f>
        <v>92</v>
      </c>
      <c r="Q137" t="str" cm="1">
        <f t="array" ref="Q137">_xlfn.SWITCH(
    TRUE(),
    J137&gt;=40, "High",
    J137&gt;=20, "Medium",
    J137&lt;20,  "Low"
)</f>
        <v>Low</v>
      </c>
    </row>
    <row r="138" spans="1:17" x14ac:dyDescent="0.35">
      <c r="A138" t="s">
        <v>296</v>
      </c>
      <c r="B138" t="s">
        <v>22</v>
      </c>
      <c r="C138" t="s">
        <v>297</v>
      </c>
      <c r="D138" t="s">
        <v>28</v>
      </c>
      <c r="E138">
        <v>20646.933590000001</v>
      </c>
      <c r="F138" t="str">
        <f>_xlfn.XLOOKUP(D138, Income_Lookup[income_id], Income_Lookup[income_label])</f>
        <v>Upper-middle income</v>
      </c>
      <c r="G138">
        <v>438000</v>
      </c>
      <c r="H138">
        <v>98</v>
      </c>
      <c r="I138">
        <v>1263473</v>
      </c>
      <c r="N138">
        <v>9</v>
      </c>
      <c r="O138">
        <f>ROUND(country_level_data[[#This Row],[total_msw_total_msw_generated_tons_year]]*1000/country_level_data[[#This Row],[population_population_number_of_people]],2)</f>
        <v>346.66</v>
      </c>
      <c r="P138">
        <f>100-country_level_data[[#This Row],[waste_treatment_recycling_percent]]</f>
        <v>100</v>
      </c>
      <c r="Q138" t="str" cm="1">
        <f t="array" ref="Q138">_xlfn.SWITCH(
    TRUE(),
    J138&gt;=40, "High",
    J138&gt;=20, "Medium",
    J138&lt;20,  "Low"
)</f>
        <v>Low</v>
      </c>
    </row>
    <row r="139" spans="1:17" x14ac:dyDescent="0.35">
      <c r="A139" t="s">
        <v>298</v>
      </c>
      <c r="B139" t="s">
        <v>22</v>
      </c>
      <c r="C139" t="s">
        <v>299</v>
      </c>
      <c r="D139" t="s">
        <v>20</v>
      </c>
      <c r="E139">
        <v>999.4413452</v>
      </c>
      <c r="F139" t="str">
        <f>_xlfn.XLOOKUP(D139, Income_Lookup[income_id], Income_Lookup[income_label])</f>
        <v>Low income</v>
      </c>
      <c r="G139">
        <v>1297844.48</v>
      </c>
      <c r="I139">
        <v>16577147</v>
      </c>
      <c r="O139">
        <f>ROUND(country_level_data[[#This Row],[total_msw_total_msw_generated_tons_year]]*1000/country_level_data[[#This Row],[population_population_number_of_people]],2)</f>
        <v>78.290000000000006</v>
      </c>
      <c r="P139">
        <f>100-country_level_data[[#This Row],[waste_treatment_recycling_percent]]</f>
        <v>100</v>
      </c>
      <c r="Q139" t="str" cm="1">
        <f t="array" ref="Q139">_xlfn.SWITCH(
    TRUE(),
    J139&gt;=40, "High",
    J139&gt;=20, "Medium",
    J139&lt;20,  "Low"
)</f>
        <v>Low</v>
      </c>
    </row>
    <row r="140" spans="1:17" x14ac:dyDescent="0.35">
      <c r="A140" t="s">
        <v>300</v>
      </c>
      <c r="B140" t="s">
        <v>39</v>
      </c>
      <c r="C140" t="s">
        <v>301</v>
      </c>
      <c r="D140" t="s">
        <v>28</v>
      </c>
      <c r="E140">
        <v>23906.265630000002</v>
      </c>
      <c r="F140" t="str">
        <f>_xlfn.XLOOKUP(D140, Income_Lookup[income_id], Income_Lookup[income_label])</f>
        <v>Upper-middle income</v>
      </c>
      <c r="G140">
        <v>12982685</v>
      </c>
      <c r="I140">
        <v>30228016</v>
      </c>
      <c r="J140">
        <v>17.5</v>
      </c>
      <c r="N140">
        <v>1</v>
      </c>
      <c r="O140">
        <f>ROUND(country_level_data[[#This Row],[total_msw_total_msw_generated_tons_year]]*1000/country_level_data[[#This Row],[population_population_number_of_people]],2)</f>
        <v>429.49</v>
      </c>
      <c r="P140">
        <f>100-country_level_data[[#This Row],[waste_treatment_recycling_percent]]</f>
        <v>82.5</v>
      </c>
      <c r="Q140" t="str" cm="1">
        <f t="array" ref="Q140">_xlfn.SWITCH(
    TRUE(),
    J140&gt;=40, "High",
    J140&gt;=20, "Medium",
    J140&lt;20,  "Low"
)</f>
        <v>Low</v>
      </c>
    </row>
    <row r="141" spans="1:17" x14ac:dyDescent="0.35">
      <c r="A141" t="s">
        <v>302</v>
      </c>
      <c r="B141" t="s">
        <v>22</v>
      </c>
      <c r="C141" t="s">
        <v>303</v>
      </c>
      <c r="D141" t="s">
        <v>28</v>
      </c>
      <c r="E141">
        <v>6152.9873049999997</v>
      </c>
      <c r="F141" t="str">
        <f>_xlfn.XLOOKUP(D141, Income_Lookup[income_id], Income_Lookup[income_label])</f>
        <v>Upper-middle income</v>
      </c>
      <c r="G141">
        <v>256729</v>
      </c>
      <c r="I141">
        <v>1559983</v>
      </c>
      <c r="J141">
        <v>4.5</v>
      </c>
      <c r="O141">
        <f>ROUND(country_level_data[[#This Row],[total_msw_total_msw_generated_tons_year]]*1000/country_level_data[[#This Row],[population_population_number_of_people]],2)</f>
        <v>164.57</v>
      </c>
      <c r="P141">
        <f>100-country_level_data[[#This Row],[waste_treatment_recycling_percent]]</f>
        <v>95.5</v>
      </c>
      <c r="Q141" t="str" cm="1">
        <f t="array" ref="Q141">_xlfn.SWITCH(
    TRUE(),
    J141&gt;=40, "High",
    J141&gt;=20, "Medium",
    J141&lt;20,  "Low"
)</f>
        <v>Low</v>
      </c>
    </row>
    <row r="142" spans="1:17" x14ac:dyDescent="0.35">
      <c r="A142" t="s">
        <v>304</v>
      </c>
      <c r="B142" t="s">
        <v>39</v>
      </c>
      <c r="C142" t="s">
        <v>305</v>
      </c>
      <c r="D142" t="s">
        <v>16</v>
      </c>
      <c r="E142">
        <v>57330.203130000002</v>
      </c>
      <c r="F142" t="str">
        <f>_xlfn.XLOOKUP(D142, Income_Lookup[income_id], Income_Lookup[income_label])</f>
        <v>High income</v>
      </c>
      <c r="G142">
        <v>108157.38400000001</v>
      </c>
      <c r="H142">
        <v>67</v>
      </c>
      <c r="I142">
        <v>278000</v>
      </c>
      <c r="O142">
        <f>ROUND(country_level_data[[#This Row],[total_msw_total_msw_generated_tons_year]]*1000/country_level_data[[#This Row],[population_population_number_of_people]],2)</f>
        <v>389.06</v>
      </c>
      <c r="P142">
        <f>100-country_level_data[[#This Row],[waste_treatment_recycling_percent]]</f>
        <v>100</v>
      </c>
      <c r="Q142" t="str" cm="1">
        <f t="array" ref="Q142">_xlfn.SWITCH(
    TRUE(),
    J142&gt;=40, "High",
    J142&gt;=20, "Medium",
    J142&lt;20,  "Low"
)</f>
        <v>Low</v>
      </c>
    </row>
    <row r="143" spans="1:17" x14ac:dyDescent="0.35">
      <c r="A143" t="s">
        <v>306</v>
      </c>
      <c r="B143" t="s">
        <v>22</v>
      </c>
      <c r="C143" t="s">
        <v>307</v>
      </c>
      <c r="D143" t="s">
        <v>20</v>
      </c>
      <c r="E143">
        <v>1038.224121</v>
      </c>
      <c r="F143" t="str">
        <f>_xlfn.XLOOKUP(D143, Income_Lookup[income_id], Income_Lookup[income_label])</f>
        <v>Low income</v>
      </c>
      <c r="G143">
        <v>1865645.67</v>
      </c>
      <c r="I143">
        <v>8842415</v>
      </c>
      <c r="J143">
        <v>4</v>
      </c>
      <c r="L143">
        <v>64</v>
      </c>
      <c r="O143">
        <f>ROUND(country_level_data[[#This Row],[total_msw_total_msw_generated_tons_year]]*1000/country_level_data[[#This Row],[population_population_number_of_people]],2)</f>
        <v>210.99</v>
      </c>
      <c r="P143">
        <f>100-country_level_data[[#This Row],[waste_treatment_recycling_percent]]</f>
        <v>96</v>
      </c>
      <c r="Q143" t="str" cm="1">
        <f t="array" ref="Q143">_xlfn.SWITCH(
    TRUE(),
    J143&gt;=40, "High",
    J143&gt;=20, "Medium",
    J143&lt;20,  "Low"
)</f>
        <v>Low</v>
      </c>
    </row>
    <row r="144" spans="1:17" x14ac:dyDescent="0.35">
      <c r="A144" t="s">
        <v>308</v>
      </c>
      <c r="B144" t="s">
        <v>22</v>
      </c>
      <c r="C144" t="s">
        <v>309</v>
      </c>
      <c r="D144" t="s">
        <v>24</v>
      </c>
      <c r="E144">
        <v>4690.3793949999999</v>
      </c>
      <c r="F144" t="str">
        <f>_xlfn.XLOOKUP(D144, Income_Lookup[income_id], Income_Lookup[income_label])</f>
        <v>Lower-middle income</v>
      </c>
      <c r="G144">
        <v>27614830.07</v>
      </c>
      <c r="I144">
        <v>154402176</v>
      </c>
      <c r="O144">
        <f>ROUND(country_level_data[[#This Row],[total_msw_total_msw_generated_tons_year]]*1000/country_level_data[[#This Row],[population_population_number_of_people]],2)</f>
        <v>178.85</v>
      </c>
      <c r="P144">
        <f>100-country_level_data[[#This Row],[waste_treatment_recycling_percent]]</f>
        <v>100</v>
      </c>
      <c r="Q144" t="str" cm="1">
        <f t="array" ref="Q144">_xlfn.SWITCH(
    TRUE(),
    J144&gt;=40, "High",
    J144&gt;=20, "Medium",
    J144&lt;20,  "Low"
)</f>
        <v>Low</v>
      </c>
    </row>
    <row r="145" spans="1:17" x14ac:dyDescent="0.35">
      <c r="A145" t="s">
        <v>310</v>
      </c>
      <c r="B145" t="s">
        <v>14</v>
      </c>
      <c r="C145" t="s">
        <v>311</v>
      </c>
      <c r="D145" t="s">
        <v>24</v>
      </c>
      <c r="E145">
        <v>4611.8403319999998</v>
      </c>
      <c r="F145" t="str">
        <f>_xlfn.XLOOKUP(D145, Income_Lookup[income_id], Income_Lookup[income_label])</f>
        <v>Lower-middle income</v>
      </c>
      <c r="G145">
        <v>1528816.2930000001</v>
      </c>
      <c r="H145">
        <v>92.3</v>
      </c>
      <c r="I145">
        <v>5737723</v>
      </c>
      <c r="L145">
        <v>59.3</v>
      </c>
      <c r="O145">
        <f>ROUND(country_level_data[[#This Row],[total_msw_total_msw_generated_tons_year]]*1000/country_level_data[[#This Row],[population_population_number_of_people]],2)</f>
        <v>266.45</v>
      </c>
      <c r="P145">
        <f>100-country_level_data[[#This Row],[waste_treatment_recycling_percent]]</f>
        <v>100</v>
      </c>
      <c r="Q145" t="str" cm="1">
        <f t="array" ref="Q145">_xlfn.SWITCH(
    TRUE(),
    J145&gt;=40, "High",
    J145&gt;=20, "Medium",
    J145&lt;20,  "Low"
)</f>
        <v>Low</v>
      </c>
    </row>
    <row r="146" spans="1:17" x14ac:dyDescent="0.35">
      <c r="A146" t="s">
        <v>312</v>
      </c>
      <c r="B146" t="s">
        <v>26</v>
      </c>
      <c r="C146" t="s">
        <v>313</v>
      </c>
      <c r="D146" t="s">
        <v>16</v>
      </c>
      <c r="E146">
        <v>56849.375</v>
      </c>
      <c r="F146" t="str">
        <f>_xlfn.XLOOKUP(D146, Income_Lookup[income_id], Income_Lookup[income_label])</f>
        <v>High income</v>
      </c>
      <c r="G146">
        <v>8805088</v>
      </c>
      <c r="I146">
        <v>17332850</v>
      </c>
      <c r="J146">
        <v>24.61</v>
      </c>
      <c r="M146">
        <v>47.369</v>
      </c>
      <c r="N146">
        <v>27.1</v>
      </c>
      <c r="O146">
        <f>ROUND(country_level_data[[#This Row],[total_msw_total_msw_generated_tons_year]]*1000/country_level_data[[#This Row],[population_population_number_of_people]],2)</f>
        <v>508</v>
      </c>
      <c r="P146">
        <f>100-country_level_data[[#This Row],[waste_treatment_recycling_percent]]</f>
        <v>75.39</v>
      </c>
      <c r="Q146" t="str" cm="1">
        <f t="array" ref="Q146">_xlfn.SWITCH(
    TRUE(),
    J146&gt;=40, "High",
    J146&gt;=20, "Medium",
    J146&lt;20,  "Low"
)</f>
        <v>Medium</v>
      </c>
    </row>
    <row r="147" spans="1:17" x14ac:dyDescent="0.35">
      <c r="A147" t="s">
        <v>314</v>
      </c>
      <c r="B147" t="s">
        <v>26</v>
      </c>
      <c r="C147" t="s">
        <v>315</v>
      </c>
      <c r="D147" t="s">
        <v>16</v>
      </c>
      <c r="E147">
        <v>64962.261720000002</v>
      </c>
      <c r="F147" t="str">
        <f>_xlfn.XLOOKUP(D147, Income_Lookup[income_id], Income_Lookup[income_label])</f>
        <v>High income</v>
      </c>
      <c r="G147">
        <v>4149967.25</v>
      </c>
      <c r="H147">
        <v>99</v>
      </c>
      <c r="I147">
        <v>5347896</v>
      </c>
      <c r="J147">
        <v>26.16</v>
      </c>
      <c r="M147">
        <v>52.35</v>
      </c>
      <c r="N147">
        <v>16.690000000000001</v>
      </c>
      <c r="O147">
        <f>ROUND(country_level_data[[#This Row],[total_msw_total_msw_generated_tons_year]]*1000/country_level_data[[#This Row],[population_population_number_of_people]],2)</f>
        <v>776</v>
      </c>
      <c r="P147">
        <f>100-country_level_data[[#This Row],[waste_treatment_recycling_percent]]</f>
        <v>73.84</v>
      </c>
      <c r="Q147" t="str" cm="1">
        <f t="array" ref="Q147">_xlfn.SWITCH(
    TRUE(),
    J147&gt;=40, "High",
    J147&gt;=20, "Medium",
    J147&lt;20,  "Low"
)</f>
        <v>Medium</v>
      </c>
    </row>
    <row r="148" spans="1:17" x14ac:dyDescent="0.35">
      <c r="A148" t="s">
        <v>316</v>
      </c>
      <c r="B148" t="s">
        <v>18</v>
      </c>
      <c r="C148" t="s">
        <v>317</v>
      </c>
      <c r="D148" t="s">
        <v>20</v>
      </c>
      <c r="E148">
        <v>2902.249268</v>
      </c>
      <c r="F148" t="str">
        <f>_xlfn.XLOOKUP(D148, Income_Lookup[income_id], Income_Lookup[income_label])</f>
        <v>Low income</v>
      </c>
      <c r="G148">
        <v>1768977.49</v>
      </c>
      <c r="I148">
        <v>28982772</v>
      </c>
      <c r="N148">
        <v>2.87</v>
      </c>
      <c r="O148">
        <f>ROUND(country_level_data[[#This Row],[total_msw_total_msw_generated_tons_year]]*1000/country_level_data[[#This Row],[population_population_number_of_people]],2)</f>
        <v>61.04</v>
      </c>
      <c r="P148">
        <f>100-country_level_data[[#This Row],[waste_treatment_recycling_percent]]</f>
        <v>100</v>
      </c>
      <c r="Q148" t="str" cm="1">
        <f t="array" ref="Q148">_xlfn.SWITCH(
    TRUE(),
    J148&gt;=40, "High",
    J148&gt;=20, "Medium",
    J148&lt;20,  "Low"
)</f>
        <v>Low</v>
      </c>
    </row>
    <row r="149" spans="1:17" x14ac:dyDescent="0.35">
      <c r="A149" t="s">
        <v>318</v>
      </c>
      <c r="B149" t="s">
        <v>39</v>
      </c>
      <c r="C149" t="s">
        <v>319</v>
      </c>
      <c r="D149" t="s">
        <v>28</v>
      </c>
      <c r="E149">
        <v>11167.31934</v>
      </c>
      <c r="F149" t="str">
        <f>_xlfn.XLOOKUP(D149, Income_Lookup[income_id], Income_Lookup[income_label])</f>
        <v>Upper-middle income</v>
      </c>
      <c r="G149">
        <v>6191.7505000000001</v>
      </c>
      <c r="H149">
        <v>100</v>
      </c>
      <c r="I149">
        <v>13049</v>
      </c>
      <c r="O149">
        <f>ROUND(country_level_data[[#This Row],[total_msw_total_msw_generated_tons_year]]*1000/country_level_data[[#This Row],[population_population_number_of_people]],2)</f>
        <v>474.5</v>
      </c>
      <c r="P149">
        <f>100-country_level_data[[#This Row],[waste_treatment_recycling_percent]]</f>
        <v>100</v>
      </c>
      <c r="Q149" t="str" cm="1">
        <f t="array" ref="Q149">_xlfn.SWITCH(
    TRUE(),
    J149&gt;=40, "High",
    J149&gt;=20, "Medium",
    J149&lt;20,  "Low"
)</f>
        <v>Low</v>
      </c>
    </row>
    <row r="150" spans="1:17" x14ac:dyDescent="0.35">
      <c r="A150" t="s">
        <v>320</v>
      </c>
      <c r="B150" t="s">
        <v>39</v>
      </c>
      <c r="C150" t="s">
        <v>321</v>
      </c>
      <c r="D150" t="s">
        <v>16</v>
      </c>
      <c r="E150">
        <v>41857.476560000003</v>
      </c>
      <c r="F150" t="str">
        <f>_xlfn.XLOOKUP(D150, Income_Lookup[income_id], Income_Lookup[income_label])</f>
        <v>High income</v>
      </c>
      <c r="G150">
        <v>3405000</v>
      </c>
      <c r="H150">
        <v>97</v>
      </c>
      <c r="I150">
        <v>4692700</v>
      </c>
      <c r="O150">
        <f>ROUND(country_level_data[[#This Row],[total_msw_total_msw_generated_tons_year]]*1000/country_level_data[[#This Row],[population_population_number_of_people]],2)</f>
        <v>725.6</v>
      </c>
      <c r="P150">
        <f>100-country_level_data[[#This Row],[waste_treatment_recycling_percent]]</f>
        <v>100</v>
      </c>
      <c r="Q150" t="str" cm="1">
        <f t="array" ref="Q150">_xlfn.SWITCH(
    TRUE(),
    J150&gt;=40, "High",
    J150&gt;=20, "Medium",
    J150&lt;20,  "Low"
)</f>
        <v>Low</v>
      </c>
    </row>
    <row r="151" spans="1:17" x14ac:dyDescent="0.35">
      <c r="A151" t="s">
        <v>322</v>
      </c>
      <c r="B151" t="s">
        <v>32</v>
      </c>
      <c r="C151" t="s">
        <v>323</v>
      </c>
      <c r="D151" t="s">
        <v>16</v>
      </c>
      <c r="E151">
        <v>30535.833979999999</v>
      </c>
      <c r="F151" t="str">
        <f>_xlfn.XLOOKUP(D151, Income_Lookup[income_id], Income_Lookup[income_label])</f>
        <v>High income</v>
      </c>
      <c r="G151">
        <v>3307951</v>
      </c>
      <c r="I151">
        <v>4933850</v>
      </c>
      <c r="J151">
        <v>26.21</v>
      </c>
      <c r="K151">
        <v>73</v>
      </c>
      <c r="L151">
        <v>0</v>
      </c>
      <c r="M151">
        <v>0.69</v>
      </c>
      <c r="O151">
        <f>ROUND(country_level_data[[#This Row],[total_msw_total_msw_generated_tons_year]]*1000/country_level_data[[#This Row],[population_population_number_of_people]],2)</f>
        <v>670.46</v>
      </c>
      <c r="P151">
        <f>100-country_level_data[[#This Row],[waste_treatment_recycling_percent]]</f>
        <v>73.789999999999992</v>
      </c>
      <c r="Q151" t="str" cm="1">
        <f t="array" ref="Q151">_xlfn.SWITCH(
    TRUE(),
    J151&gt;=40, "High",
    J151&gt;=20, "Medium",
    J151&lt;20,  "Low"
)</f>
        <v>Medium</v>
      </c>
    </row>
    <row r="152" spans="1:17" x14ac:dyDescent="0.35">
      <c r="A152" t="s">
        <v>324</v>
      </c>
      <c r="B152" t="s">
        <v>18</v>
      </c>
      <c r="C152" t="s">
        <v>325</v>
      </c>
      <c r="D152" t="s">
        <v>24</v>
      </c>
      <c r="E152">
        <v>4571.4145509999998</v>
      </c>
      <c r="F152" t="str">
        <f>_xlfn.XLOOKUP(D152, Income_Lookup[income_id], Income_Lookup[income_label])</f>
        <v>Lower-middle income</v>
      </c>
      <c r="G152">
        <v>30760000</v>
      </c>
      <c r="I152">
        <v>193203472</v>
      </c>
      <c r="J152">
        <v>8</v>
      </c>
      <c r="L152">
        <v>50</v>
      </c>
      <c r="N152">
        <v>2</v>
      </c>
      <c r="O152">
        <f>ROUND(country_level_data[[#This Row],[total_msw_total_msw_generated_tons_year]]*1000/country_level_data[[#This Row],[population_population_number_of_people]],2)</f>
        <v>159.21</v>
      </c>
      <c r="P152">
        <f>100-country_level_data[[#This Row],[waste_treatment_recycling_percent]]</f>
        <v>92</v>
      </c>
      <c r="Q152" t="str" cm="1">
        <f t="array" ref="Q152">_xlfn.SWITCH(
    TRUE(),
    J152&gt;=40, "High",
    J152&gt;=20, "Medium",
    J152&lt;20,  "Low"
)</f>
        <v>Low</v>
      </c>
    </row>
    <row r="153" spans="1:17" x14ac:dyDescent="0.35">
      <c r="A153" t="s">
        <v>326</v>
      </c>
      <c r="B153" t="s">
        <v>14</v>
      </c>
      <c r="C153" t="s">
        <v>327</v>
      </c>
      <c r="D153" t="s">
        <v>16</v>
      </c>
      <c r="E153">
        <v>28436.359380000002</v>
      </c>
      <c r="F153" t="str">
        <f>_xlfn.XLOOKUP(D153, Income_Lookup[income_id], Income_Lookup[income_label])</f>
        <v>High income</v>
      </c>
      <c r="G153">
        <v>1472262.2150000001</v>
      </c>
      <c r="H153">
        <v>84.9</v>
      </c>
      <c r="I153">
        <v>3969249</v>
      </c>
      <c r="K153">
        <v>16</v>
      </c>
      <c r="L153">
        <v>23.4</v>
      </c>
      <c r="O153">
        <f>ROUND(country_level_data[[#This Row],[total_msw_total_msw_generated_tons_year]]*1000/country_level_data[[#This Row],[population_population_number_of_people]],2)</f>
        <v>370.92</v>
      </c>
      <c r="P153">
        <f>100-country_level_data[[#This Row],[waste_treatment_recycling_percent]]</f>
        <v>100</v>
      </c>
      <c r="Q153" t="str" cm="1">
        <f t="array" ref="Q153">_xlfn.SWITCH(
    TRUE(),
    J153&gt;=40, "High",
    J153&gt;=20, "Medium",
    J153&lt;20,  "Low"
)</f>
        <v>Low</v>
      </c>
    </row>
    <row r="154" spans="1:17" x14ac:dyDescent="0.35">
      <c r="A154" t="s">
        <v>328</v>
      </c>
      <c r="B154" t="s">
        <v>14</v>
      </c>
      <c r="C154" t="s">
        <v>329</v>
      </c>
      <c r="D154" t="s">
        <v>28</v>
      </c>
      <c r="E154">
        <v>11877.083979999999</v>
      </c>
      <c r="F154" t="str">
        <f>_xlfn.XLOOKUP(D154, Income_Lookup[income_id], Income_Lookup[income_label])</f>
        <v>Upper-middle income</v>
      </c>
      <c r="G154">
        <v>8356711.1299999999</v>
      </c>
      <c r="H154">
        <v>82.93</v>
      </c>
      <c r="I154">
        <v>30973354</v>
      </c>
      <c r="J154">
        <v>4</v>
      </c>
      <c r="K154">
        <v>15.58</v>
      </c>
      <c r="L154">
        <v>56.39</v>
      </c>
      <c r="O154">
        <f>ROUND(country_level_data[[#This Row],[total_msw_total_msw_generated_tons_year]]*1000/country_level_data[[#This Row],[population_population_number_of_people]],2)</f>
        <v>269.8</v>
      </c>
      <c r="P154">
        <f>100-country_level_data[[#This Row],[waste_treatment_recycling_percent]]</f>
        <v>96</v>
      </c>
      <c r="Q154" t="str" cm="1">
        <f t="array" ref="Q154">_xlfn.SWITCH(
    TRUE(),
    J154&gt;=40, "High",
    J154&gt;=20, "Medium",
    J154&lt;20,  "Low"
)</f>
        <v>Low</v>
      </c>
    </row>
    <row r="155" spans="1:17" x14ac:dyDescent="0.35">
      <c r="A155" t="s">
        <v>330</v>
      </c>
      <c r="B155" t="s">
        <v>39</v>
      </c>
      <c r="C155" t="s">
        <v>331</v>
      </c>
      <c r="D155" t="s">
        <v>24</v>
      </c>
      <c r="E155">
        <v>7705.0454099999997</v>
      </c>
      <c r="F155" t="str">
        <f>_xlfn.XLOOKUP(D155, Income_Lookup[income_id], Income_Lookup[income_label])</f>
        <v>Lower-middle income</v>
      </c>
      <c r="G155">
        <v>14631922.9</v>
      </c>
      <c r="I155">
        <v>103320224</v>
      </c>
      <c r="J155">
        <v>28</v>
      </c>
      <c r="O155">
        <f>ROUND(country_level_data[[#This Row],[total_msw_total_msw_generated_tons_year]]*1000/country_level_data[[#This Row],[population_population_number_of_people]],2)</f>
        <v>141.62</v>
      </c>
      <c r="P155">
        <f>100-country_level_data[[#This Row],[waste_treatment_recycling_percent]]</f>
        <v>72</v>
      </c>
      <c r="Q155" t="str" cm="1">
        <f t="array" ref="Q155">_xlfn.SWITCH(
    TRUE(),
    J155&gt;=40, "High",
    J155&gt;=20, "Medium",
    J155&lt;20,  "Low"
)</f>
        <v>Medium</v>
      </c>
    </row>
    <row r="156" spans="1:17" x14ac:dyDescent="0.35">
      <c r="A156" t="s">
        <v>332</v>
      </c>
      <c r="B156" t="s">
        <v>39</v>
      </c>
      <c r="C156" t="s">
        <v>333</v>
      </c>
      <c r="D156" t="s">
        <v>16</v>
      </c>
      <c r="E156">
        <v>18275.025389999999</v>
      </c>
      <c r="F156" t="str">
        <f>_xlfn.XLOOKUP(D156, Income_Lookup[income_id], Income_Lookup[income_label])</f>
        <v>High income</v>
      </c>
      <c r="G156">
        <v>9426.7455000000009</v>
      </c>
      <c r="H156">
        <v>77</v>
      </c>
      <c r="I156">
        <v>21503</v>
      </c>
      <c r="O156">
        <f>ROUND(country_level_data[[#This Row],[total_msw_total_msw_generated_tons_year]]*1000/country_level_data[[#This Row],[population_population_number_of_people]],2)</f>
        <v>438.39</v>
      </c>
      <c r="P156">
        <f>100-country_level_data[[#This Row],[waste_treatment_recycling_percent]]</f>
        <v>100</v>
      </c>
      <c r="Q156" t="str" cm="1">
        <f t="array" ref="Q156">_xlfn.SWITCH(
    TRUE(),
    J156&gt;=40, "High",
    J156&gt;=20, "Medium",
    J156&lt;20,  "Low"
)</f>
        <v>Low</v>
      </c>
    </row>
    <row r="157" spans="1:17" x14ac:dyDescent="0.35">
      <c r="A157" t="s">
        <v>334</v>
      </c>
      <c r="B157" t="s">
        <v>39</v>
      </c>
      <c r="C157" t="s">
        <v>335</v>
      </c>
      <c r="D157" t="s">
        <v>24</v>
      </c>
      <c r="E157">
        <v>3912.3811040000001</v>
      </c>
      <c r="F157" t="str">
        <f>_xlfn.XLOOKUP(D157, Income_Lookup[income_id], Income_Lookup[income_label])</f>
        <v>Lower-middle income</v>
      </c>
      <c r="G157">
        <v>1000000</v>
      </c>
      <c r="I157">
        <v>7755785</v>
      </c>
      <c r="J157">
        <v>2</v>
      </c>
      <c r="K157">
        <v>62</v>
      </c>
      <c r="O157">
        <f>ROUND(country_level_data[[#This Row],[total_msw_total_msw_generated_tons_year]]*1000/country_level_data[[#This Row],[population_population_number_of_people]],2)</f>
        <v>128.94</v>
      </c>
      <c r="P157">
        <f>100-country_level_data[[#This Row],[waste_treatment_recycling_percent]]</f>
        <v>98</v>
      </c>
      <c r="Q157" t="str" cm="1">
        <f t="array" ref="Q157">_xlfn.SWITCH(
    TRUE(),
    J157&gt;=40, "High",
    J157&gt;=20, "Medium",
    J157&lt;20,  "Low"
)</f>
        <v>Low</v>
      </c>
    </row>
    <row r="158" spans="1:17" x14ac:dyDescent="0.35">
      <c r="A158" t="s">
        <v>336</v>
      </c>
      <c r="B158" t="s">
        <v>26</v>
      </c>
      <c r="C158" t="s">
        <v>337</v>
      </c>
      <c r="D158" t="s">
        <v>16</v>
      </c>
      <c r="E158">
        <v>33221.542970000002</v>
      </c>
      <c r="F158" t="str">
        <f>_xlfn.XLOOKUP(D158, Income_Lookup[income_id], Income_Lookup[income_label])</f>
        <v>High income</v>
      </c>
      <c r="G158">
        <v>12758213</v>
      </c>
      <c r="I158">
        <v>37970872</v>
      </c>
      <c r="J158">
        <v>26.39</v>
      </c>
      <c r="M158">
        <v>13.24</v>
      </c>
      <c r="N158">
        <v>16.11</v>
      </c>
      <c r="O158">
        <f>ROUND(country_level_data[[#This Row],[total_msw_total_msw_generated_tons_year]]*1000/country_level_data[[#This Row],[population_population_number_of_people]],2)</f>
        <v>336</v>
      </c>
      <c r="P158">
        <f>100-country_level_data[[#This Row],[waste_treatment_recycling_percent]]</f>
        <v>73.61</v>
      </c>
      <c r="Q158" t="str" cm="1">
        <f t="array" ref="Q158">_xlfn.SWITCH(
    TRUE(),
    J158&gt;=40, "High",
    J158&gt;=20, "Medium",
    J158&lt;20,  "Low"
)</f>
        <v>Medium</v>
      </c>
    </row>
    <row r="159" spans="1:17" x14ac:dyDescent="0.35">
      <c r="A159" t="s">
        <v>338</v>
      </c>
      <c r="B159" t="s">
        <v>14</v>
      </c>
      <c r="C159" t="s">
        <v>339</v>
      </c>
      <c r="D159" t="s">
        <v>16</v>
      </c>
      <c r="E159">
        <v>34311.03125</v>
      </c>
      <c r="F159" t="str">
        <f>_xlfn.XLOOKUP(D159, Income_Lookup[income_id], Income_Lookup[income_label])</f>
        <v>High income</v>
      </c>
      <c r="G159">
        <v>4170953</v>
      </c>
      <c r="I159">
        <v>3473181</v>
      </c>
      <c r="J159">
        <v>14</v>
      </c>
      <c r="O159">
        <f>ROUND(country_level_data[[#This Row],[total_msw_total_msw_generated_tons_year]]*1000/country_level_data[[#This Row],[population_population_number_of_people]],2)</f>
        <v>1200.9000000000001</v>
      </c>
      <c r="P159">
        <f>100-country_level_data[[#This Row],[waste_treatment_recycling_percent]]</f>
        <v>86</v>
      </c>
      <c r="Q159" t="str" cm="1">
        <f t="array" ref="Q159">_xlfn.SWITCH(
    TRUE(),
    J159&gt;=40, "High",
    J159&gt;=20, "Medium",
    J159&lt;20,  "Low"
)</f>
        <v>Low</v>
      </c>
    </row>
    <row r="160" spans="1:17" x14ac:dyDescent="0.35">
      <c r="A160" t="s">
        <v>340</v>
      </c>
      <c r="B160" t="s">
        <v>26</v>
      </c>
      <c r="C160" t="s">
        <v>341</v>
      </c>
      <c r="D160" t="s">
        <v>16</v>
      </c>
      <c r="E160">
        <v>34961.945310000003</v>
      </c>
      <c r="F160" t="str">
        <f>_xlfn.XLOOKUP(D160, Income_Lookup[income_id], Income_Lookup[income_label])</f>
        <v>High income</v>
      </c>
      <c r="G160">
        <v>5268211</v>
      </c>
      <c r="I160">
        <v>10269417</v>
      </c>
      <c r="J160">
        <v>16.23</v>
      </c>
      <c r="M160">
        <v>20.68</v>
      </c>
      <c r="N160">
        <v>14.12</v>
      </c>
      <c r="O160">
        <f>ROUND(country_level_data[[#This Row],[total_msw_total_msw_generated_tons_year]]*1000/country_level_data[[#This Row],[population_population_number_of_people]],2)</f>
        <v>513</v>
      </c>
      <c r="P160">
        <f>100-country_level_data[[#This Row],[waste_treatment_recycling_percent]]</f>
        <v>83.77</v>
      </c>
      <c r="Q160" t="str" cm="1">
        <f t="array" ref="Q160">_xlfn.SWITCH(
    TRUE(),
    J160&gt;=40, "High",
    J160&gt;=20, "Medium",
    J160&lt;20,  "Low"
)</f>
        <v>Low</v>
      </c>
    </row>
    <row r="161" spans="1:17" x14ac:dyDescent="0.35">
      <c r="A161" t="s">
        <v>342</v>
      </c>
      <c r="B161" t="s">
        <v>14</v>
      </c>
      <c r="C161" t="s">
        <v>343</v>
      </c>
      <c r="D161" t="s">
        <v>28</v>
      </c>
      <c r="E161">
        <v>11810.427729999999</v>
      </c>
      <c r="F161" t="str">
        <f>_xlfn.XLOOKUP(D161, Income_Lookup[income_id], Income_Lookup[income_label])</f>
        <v>Upper-middle income</v>
      </c>
      <c r="G161">
        <v>1818501.365</v>
      </c>
      <c r="H161">
        <v>46.6</v>
      </c>
      <c r="I161">
        <v>6639119</v>
      </c>
      <c r="K161">
        <v>40.200000000000003</v>
      </c>
      <c r="L161">
        <v>23.4</v>
      </c>
      <c r="O161">
        <f>ROUND(country_level_data[[#This Row],[total_msw_total_msw_generated_tons_year]]*1000/country_level_data[[#This Row],[population_population_number_of_people]],2)</f>
        <v>273.91000000000003</v>
      </c>
      <c r="P161">
        <f>100-country_level_data[[#This Row],[waste_treatment_recycling_percent]]</f>
        <v>100</v>
      </c>
      <c r="Q161" t="str" cm="1">
        <f t="array" ref="Q161">_xlfn.SWITCH(
    TRUE(),
    J161&gt;=40, "High",
    J161&gt;=20, "Medium",
    J161&lt;20,  "Low"
)</f>
        <v>Low</v>
      </c>
    </row>
    <row r="162" spans="1:17" x14ac:dyDescent="0.35">
      <c r="A162" t="s">
        <v>344</v>
      </c>
      <c r="B162" t="s">
        <v>32</v>
      </c>
      <c r="C162" t="s">
        <v>345</v>
      </c>
      <c r="D162" t="s">
        <v>24</v>
      </c>
      <c r="E162">
        <v>5985.6831050000001</v>
      </c>
      <c r="F162" t="str">
        <f>_xlfn.XLOOKUP(D162, Income_Lookup[income_id], Income_Lookup[income_label])</f>
        <v>Lower-middle income</v>
      </c>
      <c r="G162">
        <v>1387000</v>
      </c>
      <c r="H162">
        <v>91.5</v>
      </c>
      <c r="I162">
        <v>4046901</v>
      </c>
      <c r="J162">
        <v>0.5</v>
      </c>
      <c r="K162">
        <v>33</v>
      </c>
      <c r="L162">
        <v>67</v>
      </c>
      <c r="N162">
        <v>0.5</v>
      </c>
      <c r="O162">
        <f>ROUND(country_level_data[[#This Row],[total_msw_total_msw_generated_tons_year]]*1000/country_level_data[[#This Row],[population_population_number_of_people]],2)</f>
        <v>342.73</v>
      </c>
      <c r="P162">
        <f>100-country_level_data[[#This Row],[waste_treatment_recycling_percent]]</f>
        <v>99.5</v>
      </c>
      <c r="Q162" t="str" cm="1">
        <f t="array" ref="Q162">_xlfn.SWITCH(
    TRUE(),
    J162&gt;=40, "High",
    J162&gt;=20, "Medium",
    J162&lt;20,  "Low"
)</f>
        <v>Low</v>
      </c>
    </row>
    <row r="163" spans="1:17" x14ac:dyDescent="0.35">
      <c r="A163" t="s">
        <v>346</v>
      </c>
      <c r="B163" t="s">
        <v>39</v>
      </c>
      <c r="C163" t="s">
        <v>347</v>
      </c>
      <c r="D163" t="s">
        <v>16</v>
      </c>
      <c r="E163">
        <v>60955.726560000003</v>
      </c>
      <c r="F163" t="str">
        <f>_xlfn.XLOOKUP(D163, Income_Lookup[income_id], Income_Lookup[income_label])</f>
        <v>High income</v>
      </c>
      <c r="G163">
        <v>147000</v>
      </c>
      <c r="H163">
        <v>51</v>
      </c>
      <c r="I163">
        <v>273528</v>
      </c>
      <c r="J163">
        <v>39</v>
      </c>
      <c r="O163">
        <f>ROUND(country_level_data[[#This Row],[total_msw_total_msw_generated_tons_year]]*1000/country_level_data[[#This Row],[population_population_number_of_people]],2)</f>
        <v>537.41999999999996</v>
      </c>
      <c r="P163">
        <f>100-country_level_data[[#This Row],[waste_treatment_recycling_percent]]</f>
        <v>61</v>
      </c>
      <c r="Q163" t="str" cm="1">
        <f t="array" ref="Q163">_xlfn.SWITCH(
    TRUE(),
    J163&gt;=40, "High",
    J163&gt;=20, "Medium",
    J163&lt;20,  "Low"
)</f>
        <v>Medium</v>
      </c>
    </row>
    <row r="164" spans="1:17" x14ac:dyDescent="0.35">
      <c r="A164" t="s">
        <v>348</v>
      </c>
      <c r="B164" t="s">
        <v>32</v>
      </c>
      <c r="C164" t="s">
        <v>349</v>
      </c>
      <c r="D164" t="s">
        <v>16</v>
      </c>
      <c r="E164">
        <v>96261.664059999996</v>
      </c>
      <c r="F164" t="str">
        <f>_xlfn.XLOOKUP(D164, Income_Lookup[income_id], Income_Lookup[income_label])</f>
        <v>High income</v>
      </c>
      <c r="G164">
        <v>1000990.0159999999</v>
      </c>
      <c r="H164">
        <v>100</v>
      </c>
      <c r="I164">
        <v>2109568</v>
      </c>
      <c r="J164">
        <v>3</v>
      </c>
      <c r="M164">
        <v>4</v>
      </c>
      <c r="O164">
        <f>ROUND(country_level_data[[#This Row],[total_msw_total_msw_generated_tons_year]]*1000/country_level_data[[#This Row],[population_population_number_of_people]],2)</f>
        <v>474.5</v>
      </c>
      <c r="P164">
        <f>100-country_level_data[[#This Row],[waste_treatment_recycling_percent]]</f>
        <v>97</v>
      </c>
      <c r="Q164" t="str" cm="1">
        <f t="array" ref="Q164">_xlfn.SWITCH(
    TRUE(),
    J164&gt;=40, "High",
    J164&gt;=20, "Medium",
    J164&lt;20,  "Low"
)</f>
        <v>Low</v>
      </c>
    </row>
    <row r="165" spans="1:17" x14ac:dyDescent="0.35">
      <c r="A165" t="s">
        <v>350</v>
      </c>
      <c r="B165" t="s">
        <v>26</v>
      </c>
      <c r="C165" t="s">
        <v>351</v>
      </c>
      <c r="D165" t="s">
        <v>28</v>
      </c>
      <c r="E165">
        <v>29983.556639999999</v>
      </c>
      <c r="F165" t="str">
        <f>_xlfn.XLOOKUP(D165, Income_Lookup[income_id], Income_Lookup[income_label])</f>
        <v>Upper-middle income</v>
      </c>
      <c r="G165">
        <v>5419832.5</v>
      </c>
      <c r="I165">
        <v>19356544</v>
      </c>
      <c r="J165">
        <v>5.67</v>
      </c>
      <c r="M165">
        <v>2.37</v>
      </c>
      <c r="N165">
        <v>7.46</v>
      </c>
      <c r="O165">
        <f>ROUND(country_level_data[[#This Row],[total_msw_total_msw_generated_tons_year]]*1000/country_level_data[[#This Row],[population_population_number_of_people]],2)</f>
        <v>280</v>
      </c>
      <c r="P165">
        <f>100-country_level_data[[#This Row],[waste_treatment_recycling_percent]]</f>
        <v>94.33</v>
      </c>
      <c r="Q165" t="str" cm="1">
        <f t="array" ref="Q165">_xlfn.SWITCH(
    TRUE(),
    J165&gt;=40, "High",
    J165&gt;=20, "Medium",
    J165&lt;20,  "Low"
)</f>
        <v>Low</v>
      </c>
    </row>
    <row r="166" spans="1:17" x14ac:dyDescent="0.35">
      <c r="A166" t="s">
        <v>352</v>
      </c>
      <c r="B166" t="s">
        <v>26</v>
      </c>
      <c r="C166" t="s">
        <v>353</v>
      </c>
      <c r="D166" t="s">
        <v>28</v>
      </c>
      <c r="E166">
        <v>26012.849610000001</v>
      </c>
      <c r="F166" t="str">
        <f>_xlfn.XLOOKUP(D166, Income_Lookup[income_id], Income_Lookup[income_label])</f>
        <v>Upper-middle income</v>
      </c>
      <c r="G166">
        <v>60000000</v>
      </c>
      <c r="I166">
        <v>143201680</v>
      </c>
      <c r="J166">
        <v>4.5</v>
      </c>
      <c r="L166">
        <v>95</v>
      </c>
      <c r="O166">
        <f>ROUND(country_level_data[[#This Row],[total_msw_total_msw_generated_tons_year]]*1000/country_level_data[[#This Row],[population_population_number_of_people]],2)</f>
        <v>418.99</v>
      </c>
      <c r="P166">
        <f>100-country_level_data[[#This Row],[waste_treatment_recycling_percent]]</f>
        <v>95.5</v>
      </c>
      <c r="Q166" t="str" cm="1">
        <f t="array" ref="Q166">_xlfn.SWITCH(
    TRUE(),
    J166&gt;=40, "High",
    J166&gt;=20, "Medium",
    J166&lt;20,  "Low"
)</f>
        <v>Low</v>
      </c>
    </row>
    <row r="167" spans="1:17" x14ac:dyDescent="0.35">
      <c r="A167" t="s">
        <v>354</v>
      </c>
      <c r="B167" t="s">
        <v>22</v>
      </c>
      <c r="C167" t="s">
        <v>355</v>
      </c>
      <c r="D167" t="s">
        <v>20</v>
      </c>
      <c r="E167">
        <v>1950.5280760000001</v>
      </c>
      <c r="F167" t="str">
        <f>_xlfn.XLOOKUP(D167, Income_Lookup[income_id], Income_Lookup[income_label])</f>
        <v>Low income</v>
      </c>
      <c r="G167">
        <v>4384969</v>
      </c>
      <c r="I167">
        <v>11917508</v>
      </c>
      <c r="O167">
        <f>ROUND(country_level_data[[#This Row],[total_msw_total_msw_generated_tons_year]]*1000/country_level_data[[#This Row],[population_population_number_of_people]],2)</f>
        <v>367.94</v>
      </c>
      <c r="P167">
        <f>100-country_level_data[[#This Row],[waste_treatment_recycling_percent]]</f>
        <v>100</v>
      </c>
      <c r="Q167" t="str" cm="1">
        <f t="array" ref="Q167">_xlfn.SWITCH(
    TRUE(),
    J167&gt;=40, "High",
    J167&gt;=20, "Medium",
    J167&lt;20,  "Low"
)</f>
        <v>Low</v>
      </c>
    </row>
    <row r="168" spans="1:17" x14ac:dyDescent="0.35">
      <c r="A168" t="s">
        <v>356</v>
      </c>
      <c r="B168" t="s">
        <v>32</v>
      </c>
      <c r="C168" t="s">
        <v>357</v>
      </c>
      <c r="D168" t="s">
        <v>16</v>
      </c>
      <c r="E168">
        <v>48921.230470000002</v>
      </c>
      <c r="F168" t="str">
        <f>_xlfn.XLOOKUP(D168, Income_Lookup[income_id], Income_Lookup[income_label])</f>
        <v>High income</v>
      </c>
      <c r="G168">
        <v>16125700.58</v>
      </c>
      <c r="H168">
        <v>100</v>
      </c>
      <c r="I168">
        <v>31557144</v>
      </c>
      <c r="J168">
        <v>15</v>
      </c>
      <c r="K168">
        <v>85</v>
      </c>
      <c r="O168">
        <f>ROUND(country_level_data[[#This Row],[total_msw_total_msw_generated_tons_year]]*1000/country_level_data[[#This Row],[population_population_number_of_people]],2)</f>
        <v>511</v>
      </c>
      <c r="P168">
        <f>100-country_level_data[[#This Row],[waste_treatment_recycling_percent]]</f>
        <v>85</v>
      </c>
      <c r="Q168" t="str" cm="1">
        <f t="array" ref="Q168">_xlfn.SWITCH(
    TRUE(),
    J168&gt;=40, "High",
    J168&gt;=20, "Medium",
    J168&lt;20,  "Low"
)</f>
        <v>Low</v>
      </c>
    </row>
    <row r="169" spans="1:17" x14ac:dyDescent="0.35">
      <c r="A169" t="s">
        <v>358</v>
      </c>
      <c r="B169" t="s">
        <v>22</v>
      </c>
      <c r="C169" t="s">
        <v>359</v>
      </c>
      <c r="D169" t="s">
        <v>24</v>
      </c>
      <c r="E169">
        <v>4191.8232420000004</v>
      </c>
      <c r="F169" t="str">
        <f>_xlfn.XLOOKUP(D169, Income_Lookup[income_id], Income_Lookup[income_label])</f>
        <v>Lower-middle income</v>
      </c>
      <c r="G169">
        <v>2831291</v>
      </c>
      <c r="I169">
        <v>38647804</v>
      </c>
      <c r="O169">
        <f>ROUND(country_level_data[[#This Row],[total_msw_total_msw_generated_tons_year]]*1000/country_level_data[[#This Row],[population_population_number_of_people]],2)</f>
        <v>73.260000000000005</v>
      </c>
      <c r="P169">
        <f>100-country_level_data[[#This Row],[waste_treatment_recycling_percent]]</f>
        <v>100</v>
      </c>
      <c r="Q169" t="str" cm="1">
        <f t="array" ref="Q169">_xlfn.SWITCH(
    TRUE(),
    J169&gt;=40, "High",
    J169&gt;=20, "Medium",
    J169&lt;20,  "Low"
)</f>
        <v>Low</v>
      </c>
    </row>
    <row r="170" spans="1:17" x14ac:dyDescent="0.35">
      <c r="A170" t="s">
        <v>360</v>
      </c>
      <c r="B170" t="s">
        <v>22</v>
      </c>
      <c r="C170" t="s">
        <v>361</v>
      </c>
      <c r="D170" t="s">
        <v>20</v>
      </c>
      <c r="E170">
        <v>3067.6625979999999</v>
      </c>
      <c r="F170" t="str">
        <f>_xlfn.XLOOKUP(D170, Income_Lookup[income_id], Income_Lookup[income_label])</f>
        <v>Low income</v>
      </c>
      <c r="G170">
        <v>2454059.25</v>
      </c>
      <c r="H170">
        <v>21.4</v>
      </c>
      <c r="I170">
        <v>15411614</v>
      </c>
      <c r="K170">
        <v>5.0999999999999996</v>
      </c>
      <c r="L170">
        <v>43.8</v>
      </c>
      <c r="O170">
        <f>ROUND(country_level_data[[#This Row],[total_msw_total_msw_generated_tons_year]]*1000/country_level_data[[#This Row],[population_population_number_of_people]],2)</f>
        <v>159.22999999999999</v>
      </c>
      <c r="P170">
        <f>100-country_level_data[[#This Row],[waste_treatment_recycling_percent]]</f>
        <v>100</v>
      </c>
      <c r="Q170" t="str" cm="1">
        <f t="array" ref="Q170">_xlfn.SWITCH(
    TRUE(),
    J170&gt;=40, "High",
    J170&gt;=20, "Medium",
    J170&lt;20,  "Low"
)</f>
        <v>Low</v>
      </c>
    </row>
    <row r="171" spans="1:17" x14ac:dyDescent="0.35">
      <c r="A171" t="s">
        <v>362</v>
      </c>
      <c r="B171" t="s">
        <v>39</v>
      </c>
      <c r="C171" t="s">
        <v>363</v>
      </c>
      <c r="D171" t="s">
        <v>16</v>
      </c>
      <c r="E171">
        <v>97341.46875</v>
      </c>
      <c r="F171" t="str">
        <f>_xlfn.XLOOKUP(D171, Income_Lookup[income_id], Income_Lookup[income_label])</f>
        <v>High income</v>
      </c>
      <c r="G171">
        <v>1870000</v>
      </c>
      <c r="H171">
        <v>100</v>
      </c>
      <c r="I171">
        <v>5703600</v>
      </c>
      <c r="J171">
        <v>61</v>
      </c>
      <c r="M171">
        <v>37</v>
      </c>
      <c r="O171">
        <f>ROUND(country_level_data[[#This Row],[total_msw_total_msw_generated_tons_year]]*1000/country_level_data[[#This Row],[population_population_number_of_people]],2)</f>
        <v>327.86</v>
      </c>
      <c r="P171">
        <f>100-country_level_data[[#This Row],[waste_treatment_recycling_percent]]</f>
        <v>39</v>
      </c>
      <c r="Q171" t="str" cm="1">
        <f t="array" ref="Q171">_xlfn.SWITCH(
    TRUE(),
    J171&gt;=40, "High",
    J171&gt;=20, "Medium",
    J171&lt;20,  "Low"
)</f>
        <v>High</v>
      </c>
    </row>
    <row r="172" spans="1:17" x14ac:dyDescent="0.35">
      <c r="A172" t="s">
        <v>364</v>
      </c>
      <c r="B172" t="s">
        <v>39</v>
      </c>
      <c r="C172" t="s">
        <v>365</v>
      </c>
      <c r="D172" t="s">
        <v>24</v>
      </c>
      <c r="E172">
        <v>2596.4528810000002</v>
      </c>
      <c r="F172" t="str">
        <f>_xlfn.XLOOKUP(D172, Income_Lookup[income_id], Income_Lookup[income_label])</f>
        <v>Lower-middle income</v>
      </c>
      <c r="G172">
        <v>179971.9644</v>
      </c>
      <c r="H172">
        <v>12</v>
      </c>
      <c r="I172">
        <v>563513</v>
      </c>
      <c r="O172">
        <f>ROUND(country_level_data[[#This Row],[total_msw_total_msw_generated_tons_year]]*1000/country_level_data[[#This Row],[population_population_number_of_people]],2)</f>
        <v>319.38</v>
      </c>
      <c r="P172">
        <f>100-country_level_data[[#This Row],[waste_treatment_recycling_percent]]</f>
        <v>100</v>
      </c>
      <c r="Q172" t="str" cm="1">
        <f t="array" ref="Q172">_xlfn.SWITCH(
    TRUE(),
    J172&gt;=40, "High",
    J172&gt;=20, "Medium",
    J172&lt;20,  "Low"
)</f>
        <v>Low</v>
      </c>
    </row>
    <row r="173" spans="1:17" x14ac:dyDescent="0.35">
      <c r="A173" t="s">
        <v>366</v>
      </c>
      <c r="B173" t="s">
        <v>22</v>
      </c>
      <c r="C173" t="s">
        <v>367</v>
      </c>
      <c r="D173" t="s">
        <v>20</v>
      </c>
      <c r="E173">
        <v>1237.630249</v>
      </c>
      <c r="F173" t="str">
        <f>_xlfn.XLOOKUP(D173, Income_Lookup[income_id], Income_Lookup[income_label])</f>
        <v>Low income</v>
      </c>
      <c r="G173">
        <v>610222.09</v>
      </c>
      <c r="I173">
        <v>5439695</v>
      </c>
      <c r="O173">
        <f>ROUND(country_level_data[[#This Row],[total_msw_total_msw_generated_tons_year]]*1000/country_level_data[[#This Row],[population_population_number_of_people]],2)</f>
        <v>112.18</v>
      </c>
      <c r="P173">
        <f>100-country_level_data[[#This Row],[waste_treatment_recycling_percent]]</f>
        <v>100</v>
      </c>
      <c r="Q173" t="str" cm="1">
        <f t="array" ref="Q173">_xlfn.SWITCH(
    TRUE(),
    J173&gt;=40, "High",
    J173&gt;=20, "Medium",
    J173&lt;20,  "Low"
)</f>
        <v>Low</v>
      </c>
    </row>
    <row r="174" spans="1:17" x14ac:dyDescent="0.35">
      <c r="A174" t="s">
        <v>368</v>
      </c>
      <c r="B174" t="s">
        <v>14</v>
      </c>
      <c r="C174" t="s">
        <v>369</v>
      </c>
      <c r="D174" t="s">
        <v>24</v>
      </c>
      <c r="E174">
        <v>7328.7133789999998</v>
      </c>
      <c r="F174" t="str">
        <f>_xlfn.XLOOKUP(D174, Income_Lookup[income_id], Income_Lookup[income_label])</f>
        <v>Lower-middle income</v>
      </c>
      <c r="G174">
        <v>1648996.18</v>
      </c>
      <c r="H174">
        <v>78.8</v>
      </c>
      <c r="I174">
        <v>6164626</v>
      </c>
      <c r="L174">
        <v>13.8</v>
      </c>
      <c r="O174">
        <f>ROUND(country_level_data[[#This Row],[total_msw_total_msw_generated_tons_year]]*1000/country_level_data[[#This Row],[population_population_number_of_people]],2)</f>
        <v>267.49</v>
      </c>
      <c r="P174">
        <f>100-country_level_data[[#This Row],[waste_treatment_recycling_percent]]</f>
        <v>100</v>
      </c>
      <c r="Q174" t="str" cm="1">
        <f t="array" ref="Q174">_xlfn.SWITCH(
    TRUE(),
    J174&gt;=40, "High",
    J174&gt;=20, "Medium",
    J174&lt;20,  "Low"
)</f>
        <v>Low</v>
      </c>
    </row>
    <row r="175" spans="1:17" x14ac:dyDescent="0.35">
      <c r="A175" t="s">
        <v>370</v>
      </c>
      <c r="B175" t="s">
        <v>26</v>
      </c>
      <c r="C175" t="s">
        <v>371</v>
      </c>
      <c r="D175" t="s">
        <v>16</v>
      </c>
      <c r="E175">
        <v>58806.199220000002</v>
      </c>
      <c r="F175" t="str">
        <f>_xlfn.XLOOKUP(D175, Income_Lookup[income_id], Income_Lookup[income_label])</f>
        <v>High income</v>
      </c>
      <c r="G175">
        <v>17174.68</v>
      </c>
      <c r="I175">
        <v>33203</v>
      </c>
      <c r="J175">
        <v>45.05</v>
      </c>
      <c r="O175">
        <f>ROUND(country_level_data[[#This Row],[total_msw_total_msw_generated_tons_year]]*1000/country_level_data[[#This Row],[population_population_number_of_people]],2)</f>
        <v>517.26</v>
      </c>
      <c r="P175">
        <f>100-country_level_data[[#This Row],[waste_treatment_recycling_percent]]</f>
        <v>54.95</v>
      </c>
      <c r="Q175" t="str" cm="1">
        <f t="array" ref="Q175">_xlfn.SWITCH(
    TRUE(),
    J175&gt;=40, "High",
    J175&gt;=20, "Medium",
    J175&lt;20,  "Low"
)</f>
        <v>High</v>
      </c>
    </row>
    <row r="176" spans="1:17" x14ac:dyDescent="0.35">
      <c r="A176" t="s">
        <v>372</v>
      </c>
      <c r="B176" t="s">
        <v>22</v>
      </c>
      <c r="C176" t="s">
        <v>373</v>
      </c>
      <c r="D176" t="s">
        <v>20</v>
      </c>
      <c r="E176">
        <v>1862.6141359999999</v>
      </c>
      <c r="F176" t="str">
        <f>_xlfn.XLOOKUP(D176, Income_Lookup[income_id], Income_Lookup[income_label])</f>
        <v>Low income</v>
      </c>
      <c r="G176">
        <v>2326099.17</v>
      </c>
      <c r="I176">
        <v>14317996</v>
      </c>
      <c r="O176">
        <f>ROUND(country_level_data[[#This Row],[total_msw_total_msw_generated_tons_year]]*1000/country_level_data[[#This Row],[population_population_number_of_people]],2)</f>
        <v>162.46</v>
      </c>
      <c r="P176">
        <f>100-country_level_data[[#This Row],[waste_treatment_recycling_percent]]</f>
        <v>100</v>
      </c>
      <c r="Q176" t="str" cm="1">
        <f t="array" ref="Q176">_xlfn.SWITCH(
    TRUE(),
    J176&gt;=40, "High",
    J176&gt;=20, "Medium",
    J176&lt;20,  "Low"
)</f>
        <v>Low</v>
      </c>
    </row>
    <row r="177" spans="1:17" x14ac:dyDescent="0.35">
      <c r="A177" t="s">
        <v>374</v>
      </c>
      <c r="B177" t="s">
        <v>26</v>
      </c>
      <c r="C177" t="s">
        <v>375</v>
      </c>
      <c r="D177" t="s">
        <v>28</v>
      </c>
      <c r="E177">
        <v>18351.273440000001</v>
      </c>
      <c r="F177" t="str">
        <f>_xlfn.XLOOKUP(D177, Income_Lookup[income_id], Income_Lookup[income_label])</f>
        <v>Upper-middle income</v>
      </c>
      <c r="G177">
        <v>2347401.5</v>
      </c>
      <c r="H177">
        <v>70</v>
      </c>
      <c r="I177">
        <v>6944975</v>
      </c>
      <c r="J177">
        <v>0.76</v>
      </c>
      <c r="O177">
        <f>ROUND(country_level_data[[#This Row],[total_msw_total_msw_generated_tons_year]]*1000/country_level_data[[#This Row],[population_population_number_of_people]],2)</f>
        <v>338</v>
      </c>
      <c r="P177">
        <f>100-country_level_data[[#This Row],[waste_treatment_recycling_percent]]</f>
        <v>99.24</v>
      </c>
      <c r="Q177" t="str" cm="1">
        <f t="array" ref="Q177">_xlfn.SWITCH(
    TRUE(),
    J177&gt;=40, "High",
    J177&gt;=20, "Medium",
    J177&lt;20,  "Low"
)</f>
        <v>Low</v>
      </c>
    </row>
    <row r="178" spans="1:17" x14ac:dyDescent="0.35">
      <c r="A178" t="s">
        <v>376</v>
      </c>
      <c r="B178" t="s">
        <v>22</v>
      </c>
      <c r="C178" t="s">
        <v>377</v>
      </c>
      <c r="D178" t="s">
        <v>20</v>
      </c>
      <c r="E178">
        <v>1795.991943</v>
      </c>
      <c r="F178" t="str">
        <f>_xlfn.XLOOKUP(D178, Income_Lookup[income_id], Income_Lookup[income_label])</f>
        <v>Low income</v>
      </c>
      <c r="G178">
        <v>2680681</v>
      </c>
      <c r="I178">
        <v>11177490</v>
      </c>
      <c r="O178">
        <f>ROUND(country_level_data[[#This Row],[total_msw_total_msw_generated_tons_year]]*1000/country_level_data[[#This Row],[population_population_number_of_people]],2)</f>
        <v>239.83</v>
      </c>
      <c r="P178">
        <f>100-country_level_data[[#This Row],[waste_treatment_recycling_percent]]</f>
        <v>100</v>
      </c>
      <c r="Q178" t="str" cm="1">
        <f t="array" ref="Q178">_xlfn.SWITCH(
    TRUE(),
    J178&gt;=40, "High",
    J178&gt;=20, "Medium",
    J178&lt;20,  "Low"
)</f>
        <v>Low</v>
      </c>
    </row>
    <row r="179" spans="1:17" x14ac:dyDescent="0.35">
      <c r="A179" t="s">
        <v>378</v>
      </c>
      <c r="B179" t="s">
        <v>22</v>
      </c>
      <c r="C179" t="s">
        <v>379</v>
      </c>
      <c r="D179" t="s">
        <v>24</v>
      </c>
      <c r="E179">
        <v>3720.786865</v>
      </c>
      <c r="F179" t="str">
        <f>_xlfn.XLOOKUP(D179, Income_Lookup[income_id], Income_Lookup[income_label])</f>
        <v>Lower-middle income</v>
      </c>
      <c r="G179">
        <v>25586.5</v>
      </c>
      <c r="H179">
        <v>48.4</v>
      </c>
      <c r="I179">
        <v>191266</v>
      </c>
      <c r="O179">
        <f>ROUND(country_level_data[[#This Row],[total_msw_total_msw_generated_tons_year]]*1000/country_level_data[[#This Row],[population_population_number_of_people]],2)</f>
        <v>133.77000000000001</v>
      </c>
      <c r="P179">
        <f>100-country_level_data[[#This Row],[waste_treatment_recycling_percent]]</f>
        <v>100</v>
      </c>
      <c r="Q179" t="str" cm="1">
        <f t="array" ref="Q179">_xlfn.SWITCH(
    TRUE(),
    J179&gt;=40, "High",
    J179&gt;=20, "Medium",
    J179&lt;20,  "Low"
)</f>
        <v>Low</v>
      </c>
    </row>
    <row r="180" spans="1:17" x14ac:dyDescent="0.35">
      <c r="A180" t="s">
        <v>380</v>
      </c>
      <c r="B180" t="s">
        <v>14</v>
      </c>
      <c r="C180" t="s">
        <v>381</v>
      </c>
      <c r="D180" t="s">
        <v>28</v>
      </c>
      <c r="E180">
        <v>16953.802729999999</v>
      </c>
      <c r="F180" t="str">
        <f>_xlfn.XLOOKUP(D180, Income_Lookup[income_id], Income_Lookup[income_label])</f>
        <v>Upper-middle income</v>
      </c>
      <c r="G180">
        <v>78619.799150000006</v>
      </c>
      <c r="H180">
        <v>79.5</v>
      </c>
      <c r="I180">
        <v>526103</v>
      </c>
      <c r="L180">
        <v>63</v>
      </c>
      <c r="O180">
        <f>ROUND(country_level_data[[#This Row],[total_msw_total_msw_generated_tons_year]]*1000/country_level_data[[#This Row],[population_population_number_of_people]],2)</f>
        <v>149.44</v>
      </c>
      <c r="P180">
        <f>100-country_level_data[[#This Row],[waste_treatment_recycling_percent]]</f>
        <v>100</v>
      </c>
      <c r="Q180" t="str" cm="1">
        <f t="array" ref="Q180">_xlfn.SWITCH(
    TRUE(),
    J180&gt;=40, "High",
    J180&gt;=20, "Medium",
    J180&lt;20,  "Low"
)</f>
        <v>Low</v>
      </c>
    </row>
    <row r="181" spans="1:17" x14ac:dyDescent="0.35">
      <c r="A181" t="s">
        <v>382</v>
      </c>
      <c r="B181" t="s">
        <v>26</v>
      </c>
      <c r="C181" t="s">
        <v>383</v>
      </c>
      <c r="D181" t="s">
        <v>16</v>
      </c>
      <c r="E181">
        <v>31965.761719999999</v>
      </c>
      <c r="F181" t="str">
        <f>_xlfn.XLOOKUP(D181, Income_Lookup[income_id], Income_Lookup[income_label])</f>
        <v>High income</v>
      </c>
      <c r="G181">
        <v>2296164.75</v>
      </c>
      <c r="I181">
        <v>5454073</v>
      </c>
      <c r="J181">
        <v>7.62</v>
      </c>
      <c r="M181">
        <v>10.71</v>
      </c>
      <c r="N181">
        <v>7.29</v>
      </c>
      <c r="O181">
        <f>ROUND(country_level_data[[#This Row],[total_msw_total_msw_generated_tons_year]]*1000/country_level_data[[#This Row],[population_population_number_of_people]],2)</f>
        <v>421</v>
      </c>
      <c r="P181">
        <f>100-country_level_data[[#This Row],[waste_treatment_recycling_percent]]</f>
        <v>92.38</v>
      </c>
      <c r="Q181" t="str" cm="1">
        <f t="array" ref="Q181">_xlfn.SWITCH(
    TRUE(),
    J181&gt;=40, "High",
    J181&gt;=20, "Medium",
    J181&lt;20,  "Low"
)</f>
        <v>Low</v>
      </c>
    </row>
    <row r="182" spans="1:17" x14ac:dyDescent="0.35">
      <c r="A182" t="s">
        <v>384</v>
      </c>
      <c r="B182" t="s">
        <v>26</v>
      </c>
      <c r="C182" t="s">
        <v>385</v>
      </c>
      <c r="D182" t="s">
        <v>16</v>
      </c>
      <c r="E182">
        <v>39037.933590000001</v>
      </c>
      <c r="F182" t="str">
        <f>_xlfn.XLOOKUP(D182, Income_Lookup[income_id], Income_Lookup[income_label])</f>
        <v>High income</v>
      </c>
      <c r="G182">
        <v>1052324.75</v>
      </c>
      <c r="I182">
        <v>2087946</v>
      </c>
      <c r="J182">
        <v>46.44</v>
      </c>
      <c r="M182">
        <v>17.059999999999999</v>
      </c>
      <c r="N182">
        <v>7.67</v>
      </c>
      <c r="O182">
        <f>ROUND(country_level_data[[#This Row],[total_msw_total_msw_generated_tons_year]]*1000/country_level_data[[#This Row],[population_population_number_of_people]],2)</f>
        <v>504</v>
      </c>
      <c r="P182">
        <f>100-country_level_data[[#This Row],[waste_treatment_recycling_percent]]</f>
        <v>53.56</v>
      </c>
      <c r="Q182" t="str" cm="1">
        <f t="array" ref="Q182">_xlfn.SWITCH(
    TRUE(),
    J182&gt;=40, "High",
    J182&gt;=20, "Medium",
    J182&lt;20,  "Low"
)</f>
        <v>High</v>
      </c>
    </row>
    <row r="183" spans="1:17" x14ac:dyDescent="0.35">
      <c r="A183" t="s">
        <v>386</v>
      </c>
      <c r="B183" t="s">
        <v>26</v>
      </c>
      <c r="C183" t="s">
        <v>387</v>
      </c>
      <c r="D183" t="s">
        <v>16</v>
      </c>
      <c r="E183">
        <v>52608.710939999997</v>
      </c>
      <c r="F183" t="str">
        <f>_xlfn.XLOOKUP(D183, Income_Lookup[income_id], Income_Lookup[income_label])</f>
        <v>High income</v>
      </c>
      <c r="G183">
        <v>4618168.5</v>
      </c>
      <c r="I183">
        <v>10285453</v>
      </c>
      <c r="J183">
        <v>32.369999999999997</v>
      </c>
      <c r="M183">
        <v>51.2</v>
      </c>
      <c r="N183">
        <v>15.63</v>
      </c>
      <c r="O183">
        <f>ROUND(country_level_data[[#This Row],[total_msw_total_msw_generated_tons_year]]*1000/country_level_data[[#This Row],[population_population_number_of_people]],2)</f>
        <v>449</v>
      </c>
      <c r="P183">
        <f>100-country_level_data[[#This Row],[waste_treatment_recycling_percent]]</f>
        <v>67.63</v>
      </c>
      <c r="Q183" t="str" cm="1">
        <f t="array" ref="Q183">_xlfn.SWITCH(
    TRUE(),
    J183&gt;=40, "High",
    J183&gt;=20, "Medium",
    J183&lt;20,  "Low"
)</f>
        <v>Medium</v>
      </c>
    </row>
    <row r="184" spans="1:17" x14ac:dyDescent="0.35">
      <c r="A184" t="s">
        <v>388</v>
      </c>
      <c r="B184" t="s">
        <v>22</v>
      </c>
      <c r="C184" t="s">
        <v>389</v>
      </c>
      <c r="D184" t="s">
        <v>24</v>
      </c>
      <c r="E184">
        <v>8321.1064449999994</v>
      </c>
      <c r="F184" t="str">
        <f>_xlfn.XLOOKUP(D184, Income_Lookup[income_id], Income_Lookup[income_label])</f>
        <v>Lower-middle income</v>
      </c>
      <c r="G184">
        <v>218199.47</v>
      </c>
      <c r="I184">
        <v>1343098</v>
      </c>
      <c r="O184">
        <f>ROUND(country_level_data[[#This Row],[total_msw_total_msw_generated_tons_year]]*1000/country_level_data[[#This Row],[population_population_number_of_people]],2)</f>
        <v>162.46</v>
      </c>
      <c r="P184">
        <f>100-country_level_data[[#This Row],[waste_treatment_recycling_percent]]</f>
        <v>100</v>
      </c>
      <c r="Q184" t="str" cm="1">
        <f t="array" ref="Q184">_xlfn.SWITCH(
    TRUE(),
    J184&gt;=40, "High",
    J184&gt;=20, "Medium",
    J184&lt;20,  "Low"
)</f>
        <v>Low</v>
      </c>
    </row>
    <row r="185" spans="1:17" x14ac:dyDescent="0.35">
      <c r="A185" t="s">
        <v>390</v>
      </c>
      <c r="B185" t="s">
        <v>14</v>
      </c>
      <c r="C185" t="s">
        <v>391</v>
      </c>
      <c r="D185" t="s">
        <v>16</v>
      </c>
      <c r="F185" t="str">
        <f>_xlfn.XLOOKUP(D185, Income_Lookup[income_id], Income_Lookup[income_label])</f>
        <v>High income</v>
      </c>
      <c r="I185">
        <v>37685</v>
      </c>
      <c r="O185">
        <f>ROUND(country_level_data[[#This Row],[total_msw_total_msw_generated_tons_year]]*1000/country_level_data[[#This Row],[population_population_number_of_people]],2)</f>
        <v>0</v>
      </c>
      <c r="P185">
        <f>100-country_level_data[[#This Row],[waste_treatment_recycling_percent]]</f>
        <v>100</v>
      </c>
      <c r="Q185" t="str" cm="1">
        <f t="array" ref="Q185">_xlfn.SWITCH(
    TRUE(),
    J185&gt;=40, "High",
    J185&gt;=20, "Medium",
    J185&lt;20,  "Low"
)</f>
        <v>Low</v>
      </c>
    </row>
    <row r="186" spans="1:17" x14ac:dyDescent="0.35">
      <c r="A186" t="s">
        <v>392</v>
      </c>
      <c r="B186" t="s">
        <v>22</v>
      </c>
      <c r="C186" t="s">
        <v>393</v>
      </c>
      <c r="D186" t="s">
        <v>16</v>
      </c>
      <c r="E186">
        <v>23302.953130000002</v>
      </c>
      <c r="F186" t="str">
        <f>_xlfn.XLOOKUP(D186, Income_Lookup[income_id], Income_Lookup[income_label])</f>
        <v>High income</v>
      </c>
      <c r="G186">
        <v>48000</v>
      </c>
      <c r="I186">
        <v>88303</v>
      </c>
      <c r="O186">
        <f>ROUND(country_level_data[[#This Row],[total_msw_total_msw_generated_tons_year]]*1000/country_level_data[[#This Row],[population_population_number_of_people]],2)</f>
        <v>543.58000000000004</v>
      </c>
      <c r="P186">
        <f>100-country_level_data[[#This Row],[waste_treatment_recycling_percent]]</f>
        <v>100</v>
      </c>
      <c r="Q186" t="str" cm="1">
        <f t="array" ref="Q186">_xlfn.SWITCH(
    TRUE(),
    J186&gt;=40, "High",
    J186&gt;=20, "Medium",
    J186&lt;20,  "Low"
)</f>
        <v>Low</v>
      </c>
    </row>
    <row r="187" spans="1:17" x14ac:dyDescent="0.35">
      <c r="A187" t="s">
        <v>394</v>
      </c>
      <c r="B187" t="s">
        <v>32</v>
      </c>
      <c r="C187" t="s">
        <v>395</v>
      </c>
      <c r="D187" t="s">
        <v>20</v>
      </c>
      <c r="E187">
        <v>8587.0507809999999</v>
      </c>
      <c r="F187" t="str">
        <f>_xlfn.XLOOKUP(D187, Income_Lookup[income_id], Income_Lookup[income_label])</f>
        <v>Low income</v>
      </c>
      <c r="G187">
        <v>4500000</v>
      </c>
      <c r="H187">
        <v>74</v>
      </c>
      <c r="I187">
        <v>20824892</v>
      </c>
      <c r="J187">
        <v>2.5</v>
      </c>
      <c r="L187">
        <v>80</v>
      </c>
      <c r="N187">
        <v>1.5</v>
      </c>
      <c r="O187">
        <f>ROUND(country_level_data[[#This Row],[total_msw_total_msw_generated_tons_year]]*1000/country_level_data[[#This Row],[population_population_number_of_people]],2)</f>
        <v>216.09</v>
      </c>
      <c r="P187">
        <f>100-country_level_data[[#This Row],[waste_treatment_recycling_percent]]</f>
        <v>97.5</v>
      </c>
      <c r="Q187" t="str" cm="1">
        <f t="array" ref="Q187">_xlfn.SWITCH(
    TRUE(),
    J187&gt;=40, "High",
    J187&gt;=20, "Medium",
    J187&lt;20,  "Low"
)</f>
        <v>Low</v>
      </c>
    </row>
    <row r="188" spans="1:17" x14ac:dyDescent="0.35">
      <c r="A188" t="s">
        <v>396</v>
      </c>
      <c r="B188" t="s">
        <v>14</v>
      </c>
      <c r="C188" t="s">
        <v>397</v>
      </c>
      <c r="D188" t="s">
        <v>16</v>
      </c>
      <c r="E188">
        <v>28174.48242</v>
      </c>
      <c r="F188" t="str">
        <f>_xlfn.XLOOKUP(D188, Income_Lookup[income_id], Income_Lookup[income_label])</f>
        <v>High income</v>
      </c>
      <c r="I188">
        <v>34900</v>
      </c>
      <c r="O188">
        <f>ROUND(country_level_data[[#This Row],[total_msw_total_msw_generated_tons_year]]*1000/country_level_data[[#This Row],[population_population_number_of_people]],2)</f>
        <v>0</v>
      </c>
      <c r="P188">
        <f>100-country_level_data[[#This Row],[waste_treatment_recycling_percent]]</f>
        <v>100</v>
      </c>
      <c r="Q188" t="str" cm="1">
        <f t="array" ref="Q188">_xlfn.SWITCH(
    TRUE(),
    J188&gt;=40, "High",
    J188&gt;=20, "Medium",
    J188&lt;20,  "Low"
)</f>
        <v>Low</v>
      </c>
    </row>
    <row r="189" spans="1:17" x14ac:dyDescent="0.35">
      <c r="A189" t="s">
        <v>398</v>
      </c>
      <c r="B189" t="s">
        <v>22</v>
      </c>
      <c r="C189" t="s">
        <v>399</v>
      </c>
      <c r="D189" t="s">
        <v>20</v>
      </c>
      <c r="E189">
        <v>1732.691284</v>
      </c>
      <c r="F189" t="str">
        <f>_xlfn.XLOOKUP(D189, Income_Lookup[income_id], Income_Lookup[income_label])</f>
        <v>Low income</v>
      </c>
      <c r="G189">
        <v>1358850.53</v>
      </c>
      <c r="I189">
        <v>11887202</v>
      </c>
      <c r="O189">
        <f>ROUND(country_level_data[[#This Row],[total_msw_total_msw_generated_tons_year]]*1000/country_level_data[[#This Row],[population_population_number_of_people]],2)</f>
        <v>114.31</v>
      </c>
      <c r="P189">
        <f>100-country_level_data[[#This Row],[waste_treatment_recycling_percent]]</f>
        <v>100</v>
      </c>
      <c r="Q189" t="str" cm="1">
        <f t="array" ref="Q189">_xlfn.SWITCH(
    TRUE(),
    J189&gt;=40, "High",
    J189&gt;=20, "Medium",
    J189&lt;20,  "Low"
)</f>
        <v>Low</v>
      </c>
    </row>
    <row r="190" spans="1:17" x14ac:dyDescent="0.35">
      <c r="A190" t="s">
        <v>400</v>
      </c>
      <c r="B190" t="s">
        <v>22</v>
      </c>
      <c r="C190" t="s">
        <v>401</v>
      </c>
      <c r="D190" t="s">
        <v>20</v>
      </c>
      <c r="E190">
        <v>1404.1329350000001</v>
      </c>
      <c r="F190" t="str">
        <f>_xlfn.XLOOKUP(D190, Income_Lookup[income_id], Income_Lookup[income_label])</f>
        <v>Low income</v>
      </c>
      <c r="G190">
        <v>1109030.45</v>
      </c>
      <c r="I190">
        <v>7228915</v>
      </c>
      <c r="J190">
        <v>2</v>
      </c>
      <c r="L190">
        <v>96.2</v>
      </c>
      <c r="N190">
        <v>1.8</v>
      </c>
      <c r="O190">
        <f>ROUND(country_level_data[[#This Row],[total_msw_total_msw_generated_tons_year]]*1000/country_level_data[[#This Row],[population_population_number_of_people]],2)</f>
        <v>153.41999999999999</v>
      </c>
      <c r="P190">
        <f>100-country_level_data[[#This Row],[waste_treatment_recycling_percent]]</f>
        <v>98</v>
      </c>
      <c r="Q190" t="str" cm="1">
        <f t="array" ref="Q190">_xlfn.SWITCH(
    TRUE(),
    J190&gt;=40, "High",
    J190&gt;=20, "Medium",
    J190&lt;20,  "Low"
)</f>
        <v>Low</v>
      </c>
    </row>
    <row r="191" spans="1:17" x14ac:dyDescent="0.35">
      <c r="A191" t="s">
        <v>402</v>
      </c>
      <c r="B191" t="s">
        <v>39</v>
      </c>
      <c r="C191" t="s">
        <v>403</v>
      </c>
      <c r="D191" t="s">
        <v>28</v>
      </c>
      <c r="E191">
        <v>16301.53809</v>
      </c>
      <c r="F191" t="str">
        <f>_xlfn.XLOOKUP(D191, Income_Lookup[income_id], Income_Lookup[income_label])</f>
        <v>Upper-middle income</v>
      </c>
      <c r="G191">
        <v>26853366</v>
      </c>
      <c r="I191">
        <v>68657600</v>
      </c>
      <c r="J191">
        <v>19.100000000000001</v>
      </c>
      <c r="L191">
        <v>53.5</v>
      </c>
      <c r="M191">
        <v>0.4</v>
      </c>
      <c r="O191">
        <f>ROUND(country_level_data[[#This Row],[total_msw_total_msw_generated_tons_year]]*1000/country_level_data[[#This Row],[population_population_number_of_people]],2)</f>
        <v>391.12</v>
      </c>
      <c r="P191">
        <f>100-country_level_data[[#This Row],[waste_treatment_recycling_percent]]</f>
        <v>80.900000000000006</v>
      </c>
      <c r="Q191" t="str" cm="1">
        <f t="array" ref="Q191">_xlfn.SWITCH(
    TRUE(),
    J191&gt;=40, "High",
    J191&gt;=20, "Medium",
    J191&lt;20,  "Low"
)</f>
        <v>Low</v>
      </c>
    </row>
    <row r="192" spans="1:17" x14ac:dyDescent="0.35">
      <c r="A192" t="s">
        <v>404</v>
      </c>
      <c r="B192" t="s">
        <v>26</v>
      </c>
      <c r="C192" t="s">
        <v>405</v>
      </c>
      <c r="D192" t="s">
        <v>20</v>
      </c>
      <c r="E192">
        <v>2616.475586</v>
      </c>
      <c r="F192" t="str">
        <f>_xlfn.XLOOKUP(D192, Income_Lookup[income_id], Income_Lookup[income_label])</f>
        <v>Low income</v>
      </c>
      <c r="G192">
        <v>1787400</v>
      </c>
      <c r="H192">
        <v>38.25</v>
      </c>
      <c r="I192">
        <v>8177809</v>
      </c>
      <c r="L192">
        <v>100</v>
      </c>
      <c r="O192">
        <f>ROUND(country_level_data[[#This Row],[total_msw_total_msw_generated_tons_year]]*1000/country_level_data[[#This Row],[population_population_number_of_people]],2)</f>
        <v>218.57</v>
      </c>
      <c r="P192">
        <f>100-country_level_data[[#This Row],[waste_treatment_recycling_percent]]</f>
        <v>100</v>
      </c>
      <c r="Q192" t="str" cm="1">
        <f t="array" ref="Q192">_xlfn.SWITCH(
    TRUE(),
    J192&gt;=40, "High",
    J192&gt;=20, "Medium",
    J192&lt;20,  "Low"
)</f>
        <v>Low</v>
      </c>
    </row>
    <row r="193" spans="1:17" x14ac:dyDescent="0.35">
      <c r="A193" t="s">
        <v>406</v>
      </c>
      <c r="B193" t="s">
        <v>26</v>
      </c>
      <c r="C193" t="s">
        <v>407</v>
      </c>
      <c r="D193" t="s">
        <v>28</v>
      </c>
      <c r="E193">
        <v>11471.186519999999</v>
      </c>
      <c r="F193" t="str">
        <f>_xlfn.XLOOKUP(D193, Income_Lookup[income_id], Income_Lookup[income_label])</f>
        <v>Upper-middle income</v>
      </c>
      <c r="G193">
        <v>500000</v>
      </c>
      <c r="I193">
        <v>5366277</v>
      </c>
      <c r="O193">
        <f>ROUND(country_level_data[[#This Row],[total_msw_total_msw_generated_tons_year]]*1000/country_level_data[[#This Row],[population_population_number_of_people]],2)</f>
        <v>93.17</v>
      </c>
      <c r="P193">
        <f>100-country_level_data[[#This Row],[waste_treatment_recycling_percent]]</f>
        <v>100</v>
      </c>
      <c r="Q193" t="str" cm="1">
        <f t="array" ref="Q193">_xlfn.SWITCH(
    TRUE(),
    J193&gt;=40, "High",
    J193&gt;=20, "Medium",
    J193&lt;20,  "Low"
)</f>
        <v>Low</v>
      </c>
    </row>
    <row r="194" spans="1:17" x14ac:dyDescent="0.35">
      <c r="A194" t="s">
        <v>408</v>
      </c>
      <c r="B194" t="s">
        <v>39</v>
      </c>
      <c r="C194" t="s">
        <v>409</v>
      </c>
      <c r="D194" t="s">
        <v>24</v>
      </c>
      <c r="E194">
        <v>3344.5737300000001</v>
      </c>
      <c r="F194" t="str">
        <f>_xlfn.XLOOKUP(D194, Income_Lookup[income_id], Income_Lookup[income_label])</f>
        <v>Lower-middle income</v>
      </c>
      <c r="G194">
        <v>63875</v>
      </c>
      <c r="I194">
        <v>1268671</v>
      </c>
      <c r="O194">
        <f>ROUND(country_level_data[[#This Row],[total_msw_total_msw_generated_tons_year]]*1000/country_level_data[[#This Row],[population_population_number_of_people]],2)</f>
        <v>50.35</v>
      </c>
      <c r="P194">
        <f>100-country_level_data[[#This Row],[waste_treatment_recycling_percent]]</f>
        <v>100</v>
      </c>
      <c r="Q194" t="str" cm="1">
        <f t="array" ref="Q194">_xlfn.SWITCH(
    TRUE(),
    J194&gt;=40, "High",
    J194&gt;=20, "Medium",
    J194&lt;20,  "Low"
)</f>
        <v>Low</v>
      </c>
    </row>
    <row r="195" spans="1:17" x14ac:dyDescent="0.35">
      <c r="A195" t="s">
        <v>410</v>
      </c>
      <c r="B195" t="s">
        <v>39</v>
      </c>
      <c r="C195" t="s">
        <v>411</v>
      </c>
      <c r="D195" t="s">
        <v>28</v>
      </c>
      <c r="E195">
        <v>5636.4184569999998</v>
      </c>
      <c r="F195" t="str">
        <f>_xlfn.XLOOKUP(D195, Income_Lookup[income_id], Income_Lookup[income_label])</f>
        <v>Upper-middle income</v>
      </c>
      <c r="G195">
        <v>17238.20175</v>
      </c>
      <c r="H195">
        <v>71</v>
      </c>
      <c r="I195">
        <v>104951</v>
      </c>
      <c r="O195">
        <f>ROUND(country_level_data[[#This Row],[total_msw_total_msw_generated_tons_year]]*1000/country_level_data[[#This Row],[population_population_number_of_people]],2)</f>
        <v>164.25</v>
      </c>
      <c r="P195">
        <f>100-country_level_data[[#This Row],[waste_treatment_recycling_percent]]</f>
        <v>100</v>
      </c>
      <c r="Q195" t="str" cm="1">
        <f t="array" ref="Q195">_xlfn.SWITCH(
    TRUE(),
    J195&gt;=40, "High",
    J195&gt;=20, "Medium",
    J195&lt;20,  "Low"
)</f>
        <v>Low</v>
      </c>
    </row>
    <row r="196" spans="1:17" x14ac:dyDescent="0.35">
      <c r="A196" t="s">
        <v>412</v>
      </c>
      <c r="B196" t="s">
        <v>14</v>
      </c>
      <c r="C196" t="s">
        <v>413</v>
      </c>
      <c r="D196" t="s">
        <v>16</v>
      </c>
      <c r="E196">
        <v>28910.908200000002</v>
      </c>
      <c r="F196" t="str">
        <f>_xlfn.XLOOKUP(D196, Income_Lookup[income_id], Income_Lookup[income_label])</f>
        <v>High income</v>
      </c>
      <c r="G196">
        <v>727874</v>
      </c>
      <c r="H196">
        <v>94.31</v>
      </c>
      <c r="I196">
        <v>1328100</v>
      </c>
      <c r="K196">
        <v>12</v>
      </c>
      <c r="L196">
        <v>84</v>
      </c>
      <c r="N196">
        <v>0.8</v>
      </c>
      <c r="O196">
        <f>ROUND(country_level_data[[#This Row],[total_msw_total_msw_generated_tons_year]]*1000/country_level_data[[#This Row],[population_population_number_of_people]],2)</f>
        <v>548.05999999999995</v>
      </c>
      <c r="P196">
        <f>100-country_level_data[[#This Row],[waste_treatment_recycling_percent]]</f>
        <v>100</v>
      </c>
      <c r="Q196" t="str" cm="1">
        <f t="array" ref="Q196">_xlfn.SWITCH(
    TRUE(),
    J196&gt;=40, "High",
    J196&gt;=20, "Medium",
    J196&lt;20,  "Low"
)</f>
        <v>Low</v>
      </c>
    </row>
    <row r="197" spans="1:17" x14ac:dyDescent="0.35">
      <c r="A197" t="s">
        <v>414</v>
      </c>
      <c r="B197" t="s">
        <v>32</v>
      </c>
      <c r="C197" t="s">
        <v>415</v>
      </c>
      <c r="D197" t="s">
        <v>24</v>
      </c>
      <c r="E197">
        <v>10505.262699999999</v>
      </c>
      <c r="F197" t="str">
        <f>_xlfn.XLOOKUP(D197, Income_Lookup[income_id], Income_Lookup[income_label])</f>
        <v>Lower-middle income</v>
      </c>
      <c r="G197">
        <v>2700000</v>
      </c>
      <c r="H197">
        <v>65</v>
      </c>
      <c r="I197">
        <v>11143908</v>
      </c>
      <c r="J197">
        <v>4</v>
      </c>
      <c r="L197">
        <v>21</v>
      </c>
      <c r="N197">
        <v>5</v>
      </c>
      <c r="O197">
        <f>ROUND(country_level_data[[#This Row],[total_msw_total_msw_generated_tons_year]]*1000/country_level_data[[#This Row],[population_population_number_of_people]],2)</f>
        <v>242.28</v>
      </c>
      <c r="P197">
        <f>100-country_level_data[[#This Row],[waste_treatment_recycling_percent]]</f>
        <v>96</v>
      </c>
      <c r="Q197" t="str" cm="1">
        <f t="array" ref="Q197">_xlfn.SWITCH(
    TRUE(),
    J197&gt;=40, "High",
    J197&gt;=20, "Medium",
    J197&lt;20,  "Low"
)</f>
        <v>Low</v>
      </c>
    </row>
    <row r="198" spans="1:17" x14ac:dyDescent="0.35">
      <c r="A198" t="s">
        <v>416</v>
      </c>
      <c r="B198" t="s">
        <v>26</v>
      </c>
      <c r="C198" t="s">
        <v>417</v>
      </c>
      <c r="D198" t="s">
        <v>28</v>
      </c>
      <c r="E198">
        <v>28289.087889999999</v>
      </c>
      <c r="F198" t="str">
        <f>_xlfn.XLOOKUP(D198, Income_Lookup[income_id], Income_Lookup[income_label])</f>
        <v>Upper-middle income</v>
      </c>
      <c r="G198">
        <v>35374156</v>
      </c>
      <c r="I198">
        <v>83429616</v>
      </c>
      <c r="L198">
        <v>44</v>
      </c>
      <c r="N198">
        <v>1</v>
      </c>
      <c r="O198">
        <f>ROUND(country_level_data[[#This Row],[total_msw_total_msw_generated_tons_year]]*1000/country_level_data[[#This Row],[population_population_number_of_people]],2)</f>
        <v>424</v>
      </c>
      <c r="P198">
        <f>100-country_level_data[[#This Row],[waste_treatment_recycling_percent]]</f>
        <v>100</v>
      </c>
      <c r="Q198" t="str" cm="1">
        <f t="array" ref="Q198">_xlfn.SWITCH(
    TRUE(),
    J198&gt;=40, "High",
    J198&gt;=20, "Medium",
    J198&lt;20,  "Low"
)</f>
        <v>Low</v>
      </c>
    </row>
    <row r="199" spans="1:17" x14ac:dyDescent="0.35">
      <c r="A199" t="s">
        <v>418</v>
      </c>
      <c r="B199" t="s">
        <v>39</v>
      </c>
      <c r="C199" t="s">
        <v>419</v>
      </c>
      <c r="D199" t="s">
        <v>28</v>
      </c>
      <c r="E199">
        <v>3793.1276859999998</v>
      </c>
      <c r="F199" t="str">
        <f>_xlfn.XLOOKUP(D199, Income_Lookup[income_id], Income_Lookup[income_label])</f>
        <v>Upper-middle income</v>
      </c>
      <c r="G199">
        <v>3989.4865</v>
      </c>
      <c r="H199">
        <v>47</v>
      </c>
      <c r="I199">
        <v>11097</v>
      </c>
      <c r="J199">
        <v>15</v>
      </c>
      <c r="L199">
        <v>14.5</v>
      </c>
      <c r="O199">
        <f>ROUND(country_level_data[[#This Row],[total_msw_total_msw_generated_tons_year]]*1000/country_level_data[[#This Row],[population_population_number_of_people]],2)</f>
        <v>359.51</v>
      </c>
      <c r="P199">
        <f>100-country_level_data[[#This Row],[waste_treatment_recycling_percent]]</f>
        <v>85</v>
      </c>
      <c r="Q199" t="str" cm="1">
        <f t="array" ref="Q199">_xlfn.SWITCH(
    TRUE(),
    J199&gt;=40, "High",
    J199&gt;=20, "Medium",
    J199&lt;20,  "Low"
)</f>
        <v>Low</v>
      </c>
    </row>
    <row r="200" spans="1:17" x14ac:dyDescent="0.35">
      <c r="A200" t="s">
        <v>420</v>
      </c>
      <c r="B200" t="s">
        <v>39</v>
      </c>
      <c r="C200" t="s">
        <v>457</v>
      </c>
      <c r="D200" t="s">
        <v>16</v>
      </c>
      <c r="E200">
        <v>57362.925779999998</v>
      </c>
      <c r="F200" t="str">
        <f>_xlfn.XLOOKUP(D200, Income_Lookup[income_id], Income_Lookup[income_label])</f>
        <v>High income</v>
      </c>
      <c r="G200">
        <v>7336000</v>
      </c>
      <c r="I200">
        <v>23434000</v>
      </c>
      <c r="M200">
        <v>64.2</v>
      </c>
      <c r="O200">
        <f>ROUND(country_level_data[[#This Row],[total_msw_total_msw_generated_tons_year]]*1000/country_level_data[[#This Row],[population_population_number_of_people]],2)</f>
        <v>313.05</v>
      </c>
      <c r="P200">
        <f>100-country_level_data[[#This Row],[waste_treatment_recycling_percent]]</f>
        <v>100</v>
      </c>
      <c r="Q200" t="str" cm="1">
        <f t="array" ref="Q200">_xlfn.SWITCH(
    TRUE(),
    J200&gt;=40, "High",
    J200&gt;=20, "Medium",
    J200&lt;20,  "Low"
)</f>
        <v>Low</v>
      </c>
    </row>
    <row r="201" spans="1:17" x14ac:dyDescent="0.35">
      <c r="A201" t="s">
        <v>421</v>
      </c>
      <c r="B201" t="s">
        <v>22</v>
      </c>
      <c r="C201" t="s">
        <v>422</v>
      </c>
      <c r="D201" t="s">
        <v>20</v>
      </c>
      <c r="E201">
        <v>2128.5539549999999</v>
      </c>
      <c r="F201" t="str">
        <f>_xlfn.XLOOKUP(D201, Income_Lookup[income_id], Income_Lookup[income_label])</f>
        <v>Low income</v>
      </c>
      <c r="G201">
        <v>9276995</v>
      </c>
      <c r="I201">
        <v>49082996</v>
      </c>
      <c r="L201">
        <v>69</v>
      </c>
      <c r="O201">
        <f>ROUND(country_level_data[[#This Row],[total_msw_total_msw_generated_tons_year]]*1000/country_level_data[[#This Row],[population_population_number_of_people]],2)</f>
        <v>189.01</v>
      </c>
      <c r="P201">
        <f>100-country_level_data[[#This Row],[waste_treatment_recycling_percent]]</f>
        <v>100</v>
      </c>
      <c r="Q201" t="str" cm="1">
        <f t="array" ref="Q201">_xlfn.SWITCH(
    TRUE(),
    J201&gt;=40, "High",
    J201&gt;=20, "Medium",
    J201&lt;20,  "Low"
)</f>
        <v>Low</v>
      </c>
    </row>
    <row r="202" spans="1:17" x14ac:dyDescent="0.35">
      <c r="A202" t="s">
        <v>423</v>
      </c>
      <c r="B202" t="s">
        <v>22</v>
      </c>
      <c r="C202" t="s">
        <v>424</v>
      </c>
      <c r="D202" t="s">
        <v>20</v>
      </c>
      <c r="E202">
        <v>1972.3017580000001</v>
      </c>
      <c r="F202" t="str">
        <f>_xlfn.XLOOKUP(D202, Income_Lookup[income_id], Income_Lookup[income_label])</f>
        <v>Low income</v>
      </c>
      <c r="G202">
        <v>7045049.8360000001</v>
      </c>
      <c r="I202">
        <v>35093648</v>
      </c>
      <c r="J202">
        <v>6</v>
      </c>
      <c r="L202">
        <v>87</v>
      </c>
      <c r="O202">
        <f>ROUND(country_level_data[[#This Row],[total_msw_total_msw_generated_tons_year]]*1000/country_level_data[[#This Row],[population_population_number_of_people]],2)</f>
        <v>200.75</v>
      </c>
      <c r="P202">
        <f>100-country_level_data[[#This Row],[waste_treatment_recycling_percent]]</f>
        <v>94</v>
      </c>
      <c r="Q202" t="str" cm="1">
        <f t="array" ref="Q202">_xlfn.SWITCH(
    TRUE(),
    J202&gt;=40, "High",
    J202&gt;=20, "Medium",
    J202&lt;20,  "Low"
)</f>
        <v>Low</v>
      </c>
    </row>
    <row r="203" spans="1:17" x14ac:dyDescent="0.35">
      <c r="A203" t="s">
        <v>425</v>
      </c>
      <c r="B203" t="s">
        <v>26</v>
      </c>
      <c r="C203" t="s">
        <v>426</v>
      </c>
      <c r="D203" t="s">
        <v>24</v>
      </c>
      <c r="E203">
        <v>11534.637699999999</v>
      </c>
      <c r="F203" t="str">
        <f>_xlfn.XLOOKUP(D203, Income_Lookup[income_id], Income_Lookup[income_label])</f>
        <v>Lower-middle income</v>
      </c>
      <c r="G203">
        <v>15242025</v>
      </c>
      <c r="H203">
        <v>75.86</v>
      </c>
      <c r="I203">
        <v>45004644</v>
      </c>
      <c r="J203">
        <v>3.2</v>
      </c>
      <c r="M203">
        <v>2.73</v>
      </c>
      <c r="O203">
        <f>ROUND(country_level_data[[#This Row],[total_msw_total_msw_generated_tons_year]]*1000/country_level_data[[#This Row],[population_population_number_of_people]],2)</f>
        <v>338.68</v>
      </c>
      <c r="P203">
        <f>100-country_level_data[[#This Row],[waste_treatment_recycling_percent]]</f>
        <v>96.8</v>
      </c>
      <c r="Q203" t="str" cm="1">
        <f t="array" ref="Q203">_xlfn.SWITCH(
    TRUE(),
    J203&gt;=40, "High",
    J203&gt;=20, "Medium",
    J203&lt;20,  "Low"
)</f>
        <v>Low</v>
      </c>
    </row>
    <row r="204" spans="1:17" x14ac:dyDescent="0.35">
      <c r="A204" t="s">
        <v>427</v>
      </c>
      <c r="B204" t="s">
        <v>14</v>
      </c>
      <c r="C204" t="s">
        <v>428</v>
      </c>
      <c r="D204" t="s">
        <v>16</v>
      </c>
      <c r="E204">
        <v>20588.39258</v>
      </c>
      <c r="F204" t="str">
        <f>_xlfn.XLOOKUP(D204, Income_Lookup[income_id], Income_Lookup[income_label])</f>
        <v>High income</v>
      </c>
      <c r="G204">
        <v>1260139.5090000001</v>
      </c>
      <c r="H204">
        <v>98</v>
      </c>
      <c r="I204">
        <v>3431552</v>
      </c>
      <c r="J204">
        <v>8</v>
      </c>
      <c r="K204">
        <v>61.7</v>
      </c>
      <c r="L204">
        <v>17.5</v>
      </c>
      <c r="O204">
        <f>ROUND(country_level_data[[#This Row],[total_msw_total_msw_generated_tons_year]]*1000/country_level_data[[#This Row],[population_population_number_of_people]],2)</f>
        <v>367.22</v>
      </c>
      <c r="P204">
        <f>100-country_level_data[[#This Row],[waste_treatment_recycling_percent]]</f>
        <v>92</v>
      </c>
      <c r="Q204" t="str" cm="1">
        <f t="array" ref="Q204">_xlfn.SWITCH(
    TRUE(),
    J204&gt;=40, "High",
    J204&gt;=20, "Medium",
    J204&lt;20,  "Low"
)</f>
        <v>Low</v>
      </c>
    </row>
    <row r="205" spans="1:17" x14ac:dyDescent="0.35">
      <c r="A205" t="s">
        <v>429</v>
      </c>
      <c r="B205" t="s">
        <v>72</v>
      </c>
      <c r="C205" t="s">
        <v>430</v>
      </c>
      <c r="D205" t="s">
        <v>16</v>
      </c>
      <c r="E205">
        <v>61498.371090000001</v>
      </c>
      <c r="F205" t="str">
        <f>_xlfn.XLOOKUP(D205, Income_Lookup[income_id], Income_Lookup[income_label])</f>
        <v>High income</v>
      </c>
      <c r="G205">
        <v>265224528</v>
      </c>
      <c r="H205">
        <v>100</v>
      </c>
      <c r="I205">
        <v>326687488</v>
      </c>
      <c r="J205">
        <v>34.6</v>
      </c>
      <c r="M205">
        <v>12.8</v>
      </c>
      <c r="O205">
        <f>ROUND(country_level_data[[#This Row],[total_msw_total_msw_generated_tons_year]]*1000/country_level_data[[#This Row],[population_population_number_of_people]],2)</f>
        <v>811.86</v>
      </c>
      <c r="P205">
        <f>100-country_level_data[[#This Row],[waste_treatment_recycling_percent]]</f>
        <v>65.400000000000006</v>
      </c>
      <c r="Q205" t="str" cm="1">
        <f t="array" ref="Q205">_xlfn.SWITCH(
    TRUE(),
    J205&gt;=40, "High",
    J205&gt;=20, "Medium",
    J205&lt;20,  "Low"
)</f>
        <v>Medium</v>
      </c>
    </row>
    <row r="206" spans="1:17" x14ac:dyDescent="0.35">
      <c r="A206" t="s">
        <v>431</v>
      </c>
      <c r="B206" t="s">
        <v>26</v>
      </c>
      <c r="C206" t="s">
        <v>432</v>
      </c>
      <c r="D206" t="s">
        <v>24</v>
      </c>
      <c r="E206">
        <v>5164.2744140000004</v>
      </c>
      <c r="F206" t="str">
        <f>_xlfn.XLOOKUP(D206, Income_Lookup[income_id], Income_Lookup[income_label])</f>
        <v>Lower-middle income</v>
      </c>
      <c r="G206">
        <v>4000000</v>
      </c>
      <c r="I206">
        <v>29774500</v>
      </c>
      <c r="L206">
        <v>60</v>
      </c>
      <c r="O206">
        <f>ROUND(country_level_data[[#This Row],[total_msw_total_msw_generated_tons_year]]*1000/country_level_data[[#This Row],[population_population_number_of_people]],2)</f>
        <v>134.34</v>
      </c>
      <c r="P206">
        <f>100-country_level_data[[#This Row],[waste_treatment_recycling_percent]]</f>
        <v>100</v>
      </c>
      <c r="Q206" t="str" cm="1">
        <f t="array" ref="Q206">_xlfn.SWITCH(
    TRUE(),
    J206&gt;=40, "High",
    J206&gt;=20, "Medium",
    J206&lt;20,  "Low"
)</f>
        <v>Low</v>
      </c>
    </row>
    <row r="207" spans="1:17" x14ac:dyDescent="0.35">
      <c r="A207" t="s">
        <v>433</v>
      </c>
      <c r="B207" t="s">
        <v>14</v>
      </c>
      <c r="C207" t="s">
        <v>434</v>
      </c>
      <c r="D207" t="s">
        <v>28</v>
      </c>
      <c r="E207">
        <v>11971.99316</v>
      </c>
      <c r="F207" t="str">
        <f>_xlfn.XLOOKUP(D207, Income_Lookup[income_id], Income_Lookup[income_label])</f>
        <v>Upper-middle income</v>
      </c>
      <c r="G207">
        <v>31561.349249999999</v>
      </c>
      <c r="I207">
        <v>109455</v>
      </c>
      <c r="N207">
        <v>0.09</v>
      </c>
      <c r="O207">
        <f>ROUND(country_level_data[[#This Row],[total_msw_total_msw_generated_tons_year]]*1000/country_level_data[[#This Row],[population_population_number_of_people]],2)</f>
        <v>288.35000000000002</v>
      </c>
      <c r="P207">
        <f>100-country_level_data[[#This Row],[waste_treatment_recycling_percent]]</f>
        <v>100</v>
      </c>
      <c r="Q207" t="str" cm="1">
        <f t="array" ref="Q207">_xlfn.SWITCH(
    TRUE(),
    J207&gt;=40, "High",
    J207&gt;=20, "Medium",
    J207&lt;20,  "Low"
)</f>
        <v>Low</v>
      </c>
    </row>
    <row r="208" spans="1:17" x14ac:dyDescent="0.35">
      <c r="A208" t="s">
        <v>435</v>
      </c>
      <c r="B208" t="s">
        <v>14</v>
      </c>
      <c r="C208" t="s">
        <v>436</v>
      </c>
      <c r="D208" t="s">
        <v>28</v>
      </c>
      <c r="E208">
        <v>14269.67383</v>
      </c>
      <c r="F208" t="str">
        <f>_xlfn.XLOOKUP(D208, Income_Lookup[income_id], Income_Lookup[income_label])</f>
        <v>Upper-middle income</v>
      </c>
      <c r="G208">
        <v>9779093.1400000006</v>
      </c>
      <c r="H208">
        <v>100</v>
      </c>
      <c r="I208">
        <v>29893080</v>
      </c>
      <c r="O208">
        <f>ROUND(country_level_data[[#This Row],[total_msw_total_msw_generated_tons_year]]*1000/country_level_data[[#This Row],[population_population_number_of_people]],2)</f>
        <v>327.14</v>
      </c>
      <c r="P208">
        <f>100-country_level_data[[#This Row],[waste_treatment_recycling_percent]]</f>
        <v>100</v>
      </c>
      <c r="Q208" t="str" cm="1">
        <f t="array" ref="Q208">_xlfn.SWITCH(
    TRUE(),
    J208&gt;=40, "High",
    J208&gt;=20, "Medium",
    J208&lt;20,  "Low"
)</f>
        <v>Low</v>
      </c>
    </row>
    <row r="209" spans="1:17" x14ac:dyDescent="0.35">
      <c r="A209" t="s">
        <v>437</v>
      </c>
      <c r="B209" t="s">
        <v>14</v>
      </c>
      <c r="C209" t="s">
        <v>438</v>
      </c>
      <c r="D209" t="s">
        <v>16</v>
      </c>
      <c r="E209">
        <v>24215.882809999999</v>
      </c>
      <c r="F209" t="str">
        <f>_xlfn.XLOOKUP(D209, Income_Lookup[income_id], Income_Lookup[income_label])</f>
        <v>High income</v>
      </c>
      <c r="G209">
        <v>21099.19</v>
      </c>
      <c r="H209">
        <v>97.2</v>
      </c>
      <c r="I209">
        <v>20645</v>
      </c>
      <c r="M209">
        <v>80.3</v>
      </c>
      <c r="O209">
        <f>ROUND(country_level_data[[#This Row],[total_msw_total_msw_generated_tons_year]]*1000/country_level_data[[#This Row],[population_population_number_of_people]],2)</f>
        <v>1022</v>
      </c>
      <c r="P209">
        <f>100-country_level_data[[#This Row],[waste_treatment_recycling_percent]]</f>
        <v>100</v>
      </c>
      <c r="Q209" t="str" cm="1">
        <f t="array" ref="Q209">_xlfn.SWITCH(
    TRUE(),
    J209&gt;=40, "High",
    J209&gt;=20, "Medium",
    J209&lt;20,  "Low"
)</f>
        <v>Low</v>
      </c>
    </row>
    <row r="210" spans="1:17" x14ac:dyDescent="0.35">
      <c r="A210" t="s">
        <v>439</v>
      </c>
      <c r="B210" t="s">
        <v>14</v>
      </c>
      <c r="C210" t="s">
        <v>440</v>
      </c>
      <c r="D210" t="s">
        <v>16</v>
      </c>
      <c r="E210">
        <v>30436.564450000002</v>
      </c>
      <c r="F210" t="str">
        <f>_xlfn.XLOOKUP(D210, Income_Lookup[income_id], Income_Lookup[income_label])</f>
        <v>High income</v>
      </c>
      <c r="G210">
        <v>146500</v>
      </c>
      <c r="I210">
        <v>105784</v>
      </c>
      <c r="O210">
        <f>ROUND(country_level_data[[#This Row],[total_msw_total_msw_generated_tons_year]]*1000/country_level_data[[#This Row],[population_population_number_of_people]],2)</f>
        <v>1384.9</v>
      </c>
      <c r="P210">
        <f>100-country_level_data[[#This Row],[waste_treatment_recycling_percent]]</f>
        <v>100</v>
      </c>
      <c r="Q210" t="str" cm="1">
        <f t="array" ref="Q210">_xlfn.SWITCH(
    TRUE(),
    J210&gt;=40, "High",
    J210&gt;=20, "Medium",
    J210&lt;20,  "Low"
)</f>
        <v>Low</v>
      </c>
    </row>
    <row r="211" spans="1:17" x14ac:dyDescent="0.35">
      <c r="A211" t="s">
        <v>441</v>
      </c>
      <c r="B211" t="s">
        <v>39</v>
      </c>
      <c r="C211" t="s">
        <v>442</v>
      </c>
      <c r="D211" t="s">
        <v>24</v>
      </c>
      <c r="E211">
        <v>5089.4111329999996</v>
      </c>
      <c r="F211" t="str">
        <f>_xlfn.XLOOKUP(D211, Income_Lookup[income_id], Income_Lookup[income_label])</f>
        <v>Lower-middle income</v>
      </c>
      <c r="G211">
        <v>9570300</v>
      </c>
      <c r="H211">
        <v>72</v>
      </c>
      <c r="I211">
        <v>86932496</v>
      </c>
      <c r="J211">
        <v>23</v>
      </c>
      <c r="N211">
        <v>15</v>
      </c>
      <c r="O211">
        <f>ROUND(country_level_data[[#This Row],[total_msw_total_msw_generated_tons_year]]*1000/country_level_data[[#This Row],[population_population_number_of_people]],2)</f>
        <v>110.09</v>
      </c>
      <c r="P211">
        <f>100-country_level_data[[#This Row],[waste_treatment_recycling_percent]]</f>
        <v>77</v>
      </c>
      <c r="Q211" t="str" cm="1">
        <f t="array" ref="Q211">_xlfn.SWITCH(
    TRUE(),
    J211&gt;=40, "High",
    J211&gt;=20, "Medium",
    J211&lt;20,  "Low"
)</f>
        <v>Medium</v>
      </c>
    </row>
    <row r="212" spans="1:17" x14ac:dyDescent="0.35">
      <c r="A212" t="s">
        <v>443</v>
      </c>
      <c r="B212" t="s">
        <v>39</v>
      </c>
      <c r="C212" t="s">
        <v>444</v>
      </c>
      <c r="D212" t="s">
        <v>24</v>
      </c>
      <c r="E212">
        <v>3061.7873540000001</v>
      </c>
      <c r="F212" t="str">
        <f>_xlfn.XLOOKUP(D212, Income_Lookup[income_id], Income_Lookup[income_label])</f>
        <v>Lower-middle income</v>
      </c>
      <c r="G212">
        <v>70225.489000000001</v>
      </c>
      <c r="H212">
        <v>12</v>
      </c>
      <c r="I212">
        <v>270402</v>
      </c>
      <c r="J212">
        <v>37</v>
      </c>
      <c r="L212">
        <v>11.3</v>
      </c>
      <c r="O212">
        <f>ROUND(country_level_data[[#This Row],[total_msw_total_msw_generated_tons_year]]*1000/country_level_data[[#This Row],[population_population_number_of_people]],2)</f>
        <v>259.70999999999998</v>
      </c>
      <c r="P212">
        <f>100-country_level_data[[#This Row],[waste_treatment_recycling_percent]]</f>
        <v>63</v>
      </c>
      <c r="Q212" t="str" cm="1">
        <f t="array" ref="Q212">_xlfn.SWITCH(
    TRUE(),
    J212&gt;=40, "High",
    J212&gt;=20, "Medium",
    J212&lt;20,  "Low"
)</f>
        <v>Medium</v>
      </c>
    </row>
    <row r="213" spans="1:17" x14ac:dyDescent="0.35">
      <c r="A213" t="s">
        <v>445</v>
      </c>
      <c r="B213" t="s">
        <v>39</v>
      </c>
      <c r="C213" t="s">
        <v>446</v>
      </c>
      <c r="D213" t="s">
        <v>28</v>
      </c>
      <c r="E213">
        <v>6210.9833980000003</v>
      </c>
      <c r="F213" t="str">
        <f>_xlfn.XLOOKUP(D213, Income_Lookup[income_id], Income_Lookup[income_label])</f>
        <v>Upper-middle income</v>
      </c>
      <c r="G213">
        <v>27399.09</v>
      </c>
      <c r="H213">
        <v>100</v>
      </c>
      <c r="I213">
        <v>187665</v>
      </c>
      <c r="J213">
        <v>36</v>
      </c>
      <c r="K213">
        <v>31</v>
      </c>
      <c r="O213">
        <f>ROUND(country_level_data[[#This Row],[total_msw_total_msw_generated_tons_year]]*1000/country_level_data[[#This Row],[population_population_number_of_people]],2)</f>
        <v>146</v>
      </c>
      <c r="P213">
        <f>100-country_level_data[[#This Row],[waste_treatment_recycling_percent]]</f>
        <v>64</v>
      </c>
      <c r="Q213" t="str" cm="1">
        <f t="array" ref="Q213">_xlfn.SWITCH(
    TRUE(),
    J213&gt;=40, "High",
    J213&gt;=20, "Medium",
    J213&lt;20,  "Low"
)</f>
        <v>Medium</v>
      </c>
    </row>
    <row r="214" spans="1:17" x14ac:dyDescent="0.35">
      <c r="A214" t="s">
        <v>447</v>
      </c>
      <c r="B214" t="s">
        <v>26</v>
      </c>
      <c r="C214" t="s">
        <v>448</v>
      </c>
      <c r="D214" t="s">
        <v>24</v>
      </c>
      <c r="E214">
        <v>9723.5615230000003</v>
      </c>
      <c r="F214" t="str">
        <f>_xlfn.XLOOKUP(D214, Income_Lookup[income_id], Income_Lookup[income_label])</f>
        <v>Lower-middle income</v>
      </c>
      <c r="G214">
        <v>319000</v>
      </c>
      <c r="H214">
        <v>39</v>
      </c>
      <c r="I214">
        <v>1801800</v>
      </c>
      <c r="K214">
        <v>66.430000000000007</v>
      </c>
      <c r="L214">
        <v>33.57</v>
      </c>
      <c r="O214">
        <f>ROUND(country_level_data[[#This Row],[total_msw_total_msw_generated_tons_year]]*1000/country_level_data[[#This Row],[population_population_number_of_people]],2)</f>
        <v>177.05</v>
      </c>
      <c r="P214">
        <f>100-country_level_data[[#This Row],[waste_treatment_recycling_percent]]</f>
        <v>100</v>
      </c>
      <c r="Q214" t="str" cm="1">
        <f t="array" ref="Q214">_xlfn.SWITCH(
    TRUE(),
    J214&gt;=40, "High",
    J214&gt;=20, "Medium",
    J214&lt;20,  "Low"
)</f>
        <v>Low</v>
      </c>
    </row>
    <row r="215" spans="1:17" x14ac:dyDescent="0.35">
      <c r="A215" t="s">
        <v>449</v>
      </c>
      <c r="B215" t="s">
        <v>32</v>
      </c>
      <c r="C215" t="s">
        <v>450</v>
      </c>
      <c r="D215" t="s">
        <v>20</v>
      </c>
      <c r="E215">
        <v>8269.671875</v>
      </c>
      <c r="F215" t="str">
        <f>_xlfn.XLOOKUP(D215, Income_Lookup[income_id], Income_Lookup[income_label])</f>
        <v>Low income</v>
      </c>
      <c r="G215">
        <v>4836820</v>
      </c>
      <c r="H215">
        <v>20</v>
      </c>
      <c r="I215">
        <v>27584212</v>
      </c>
      <c r="J215">
        <v>8</v>
      </c>
      <c r="K215">
        <v>12</v>
      </c>
      <c r="L215">
        <v>25</v>
      </c>
      <c r="O215">
        <f>ROUND(country_level_data[[#This Row],[total_msw_total_msw_generated_tons_year]]*1000/country_level_data[[#This Row],[population_population_number_of_people]],2)</f>
        <v>175.35</v>
      </c>
      <c r="P215">
        <f>100-country_level_data[[#This Row],[waste_treatment_recycling_percent]]</f>
        <v>92</v>
      </c>
      <c r="Q215" t="str" cm="1">
        <f t="array" ref="Q215">_xlfn.SWITCH(
    TRUE(),
    J215&gt;=40, "High",
    J215&gt;=20, "Medium",
    J215&lt;20,  "Low"
)</f>
        <v>Low</v>
      </c>
    </row>
    <row r="216" spans="1:17" x14ac:dyDescent="0.35">
      <c r="A216" t="s">
        <v>451</v>
      </c>
      <c r="B216" t="s">
        <v>22</v>
      </c>
      <c r="C216" t="s">
        <v>452</v>
      </c>
      <c r="D216" t="s">
        <v>28</v>
      </c>
      <c r="E216">
        <v>12666.60742</v>
      </c>
      <c r="F216" t="str">
        <f>_xlfn.XLOOKUP(D216, Income_Lookup[income_id], Income_Lookup[income_label])</f>
        <v>Upper-middle income</v>
      </c>
      <c r="G216">
        <v>18457232</v>
      </c>
      <c r="I216">
        <v>51729344</v>
      </c>
      <c r="J216">
        <v>28</v>
      </c>
      <c r="K216">
        <v>72</v>
      </c>
      <c r="O216">
        <f>ROUND(country_level_data[[#This Row],[total_msw_total_msw_generated_tons_year]]*1000/country_level_data[[#This Row],[population_population_number_of_people]],2)</f>
        <v>356.8</v>
      </c>
      <c r="P216">
        <f>100-country_level_data[[#This Row],[waste_treatment_recycling_percent]]</f>
        <v>72</v>
      </c>
      <c r="Q216" t="str" cm="1">
        <f t="array" ref="Q216">_xlfn.SWITCH(
    TRUE(),
    J216&gt;=40, "High",
    J216&gt;=20, "Medium",
    J216&lt;20,  "Low"
)</f>
        <v>Medium</v>
      </c>
    </row>
    <row r="217" spans="1:17" x14ac:dyDescent="0.35">
      <c r="A217" t="s">
        <v>453</v>
      </c>
      <c r="B217" t="s">
        <v>22</v>
      </c>
      <c r="C217" t="s">
        <v>454</v>
      </c>
      <c r="D217" t="s">
        <v>24</v>
      </c>
      <c r="E217">
        <v>3201.289307</v>
      </c>
      <c r="F217" t="str">
        <f>_xlfn.XLOOKUP(D217, Income_Lookup[income_id], Income_Lookup[income_label])</f>
        <v>Lower-middle income</v>
      </c>
      <c r="G217">
        <v>2608268</v>
      </c>
      <c r="H217">
        <v>20</v>
      </c>
      <c r="I217">
        <v>14264756</v>
      </c>
      <c r="O217">
        <f>ROUND(country_level_data[[#This Row],[total_msw_total_msw_generated_tons_year]]*1000/country_level_data[[#This Row],[population_population_number_of_people]],2)</f>
        <v>182.85</v>
      </c>
      <c r="P217">
        <f>100-country_level_data[[#This Row],[waste_treatment_recycling_percent]]</f>
        <v>100</v>
      </c>
      <c r="Q217" t="str" cm="1">
        <f t="array" ref="Q217">_xlfn.SWITCH(
    TRUE(),
    J217&gt;=40, "High",
    J217&gt;=20, "Medium",
    J217&lt;20,  "Low"
)</f>
        <v>Low</v>
      </c>
    </row>
    <row r="218" spans="1:17" x14ac:dyDescent="0.35">
      <c r="A218" t="s">
        <v>455</v>
      </c>
      <c r="B218" t="s">
        <v>22</v>
      </c>
      <c r="C218" t="s">
        <v>456</v>
      </c>
      <c r="D218" t="s">
        <v>20</v>
      </c>
      <c r="E218">
        <v>3190.5065920000002</v>
      </c>
      <c r="F218" t="str">
        <f>_xlfn.XLOOKUP(D218, Income_Lookup[income_id], Income_Lookup[income_label])</f>
        <v>Low income</v>
      </c>
      <c r="G218">
        <v>1449752</v>
      </c>
      <c r="I218">
        <v>12500525</v>
      </c>
      <c r="J218">
        <v>16</v>
      </c>
      <c r="O218">
        <f>ROUND(country_level_data[[#This Row],[total_msw_total_msw_generated_tons_year]]*1000/country_level_data[[#This Row],[population_population_number_of_people]],2)</f>
        <v>115.98</v>
      </c>
      <c r="P218">
        <f>100-country_level_data[[#This Row],[waste_treatment_recycling_percent]]</f>
        <v>84</v>
      </c>
      <c r="Q218" t="str" cm="1">
        <f t="array" ref="Q218">_xlfn.SWITCH(
    TRUE(),
    J218&gt;=40, "High",
    J218&gt;=20, "Medium",
    J218&lt;20,  "Low"
)</f>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2713-32FC-41DE-ADDF-ADB0EC6E061D}">
  <dimension ref="A2:L23"/>
  <sheetViews>
    <sheetView zoomScale="66" workbookViewId="0"/>
  </sheetViews>
  <sheetFormatPr defaultRowHeight="14.5" x14ac:dyDescent="0.35"/>
  <cols>
    <col min="1" max="1" width="14.1796875" bestFit="1" customWidth="1"/>
    <col min="2" max="2" width="42.36328125" bestFit="1" customWidth="1"/>
    <col min="4" max="4" width="42.36328125" bestFit="1" customWidth="1"/>
    <col min="5" max="5" width="17.36328125" bestFit="1" customWidth="1"/>
    <col min="6" max="6" width="31.81640625" bestFit="1" customWidth="1"/>
    <col min="8" max="8" width="19.6328125" bestFit="1" customWidth="1"/>
    <col min="9" max="9" width="42.36328125" bestFit="1" customWidth="1"/>
    <col min="10" max="10" width="45.08984375" bestFit="1" customWidth="1"/>
    <col min="11" max="11" width="50.6328125" bestFit="1" customWidth="1"/>
    <col min="12" max="12" width="44.81640625" bestFit="1" customWidth="1"/>
  </cols>
  <sheetData>
    <row r="2" spans="1:12" x14ac:dyDescent="0.35">
      <c r="H2" s="1" t="s">
        <v>460</v>
      </c>
      <c r="I2" t="s">
        <v>471</v>
      </c>
    </row>
    <row r="3" spans="1:12" x14ac:dyDescent="0.35">
      <c r="A3" s="1" t="s">
        <v>460</v>
      </c>
      <c r="B3" t="s">
        <v>462</v>
      </c>
      <c r="D3" t="s">
        <v>476</v>
      </c>
      <c r="H3" s="2" t="s">
        <v>464</v>
      </c>
      <c r="I3" s="4">
        <v>81</v>
      </c>
    </row>
    <row r="4" spans="1:12" x14ac:dyDescent="0.35">
      <c r="A4" s="2" t="s">
        <v>20</v>
      </c>
      <c r="B4" s="3">
        <v>7.8545454545454554</v>
      </c>
      <c r="D4" s="3">
        <v>374.0641013824885</v>
      </c>
      <c r="H4" s="2" t="s">
        <v>467</v>
      </c>
      <c r="I4" s="4">
        <v>33</v>
      </c>
    </row>
    <row r="5" spans="1:12" x14ac:dyDescent="0.35">
      <c r="A5" s="2" t="s">
        <v>28</v>
      </c>
      <c r="B5" s="3">
        <v>9.6716441935483868</v>
      </c>
      <c r="H5" s="2" t="s">
        <v>469</v>
      </c>
      <c r="I5" s="4">
        <v>47</v>
      </c>
    </row>
    <row r="6" spans="1:12" x14ac:dyDescent="0.35">
      <c r="A6" s="2" t="s">
        <v>24</v>
      </c>
      <c r="B6" s="3">
        <v>10.676363636363634</v>
      </c>
      <c r="H6" s="2" t="s">
        <v>470</v>
      </c>
      <c r="I6" s="4">
        <v>56</v>
      </c>
    </row>
    <row r="7" spans="1:12" x14ac:dyDescent="0.35">
      <c r="A7" s="2" t="s">
        <v>16</v>
      </c>
      <c r="B7" s="3">
        <v>25.560380365737704</v>
      </c>
      <c r="D7" t="s">
        <v>477</v>
      </c>
      <c r="H7" s="2" t="s">
        <v>461</v>
      </c>
      <c r="I7" s="4">
        <v>217</v>
      </c>
    </row>
    <row r="8" spans="1:12" x14ac:dyDescent="0.35">
      <c r="A8" s="2" t="s">
        <v>461</v>
      </c>
      <c r="B8" s="3">
        <v>17.442273378480003</v>
      </c>
      <c r="D8" s="3">
        <v>89.952607500875601</v>
      </c>
    </row>
    <row r="11" spans="1:12" x14ac:dyDescent="0.35">
      <c r="D11" t="s">
        <v>462</v>
      </c>
    </row>
    <row r="12" spans="1:12" x14ac:dyDescent="0.35">
      <c r="A12" s="1" t="s">
        <v>460</v>
      </c>
      <c r="B12" t="s">
        <v>462</v>
      </c>
      <c r="D12" s="3">
        <v>17.442273378479999</v>
      </c>
      <c r="H12" s="1" t="s">
        <v>460</v>
      </c>
      <c r="I12" t="s">
        <v>462</v>
      </c>
      <c r="J12" t="s">
        <v>474</v>
      </c>
      <c r="K12" t="s">
        <v>473</v>
      </c>
      <c r="L12" t="s">
        <v>472</v>
      </c>
    </row>
    <row r="13" spans="1:12" x14ac:dyDescent="0.35">
      <c r="A13" s="2" t="s">
        <v>44</v>
      </c>
      <c r="B13" s="3">
        <v>42.1</v>
      </c>
      <c r="H13" s="2" t="s">
        <v>464</v>
      </c>
      <c r="I13" s="3">
        <v>25.560380365737704</v>
      </c>
      <c r="J13" s="3">
        <v>31.453593035952384</v>
      </c>
      <c r="K13" s="3">
        <v>48.763204238666667</v>
      </c>
      <c r="L13" s="3">
        <v>39.741250000000001</v>
      </c>
    </row>
    <row r="14" spans="1:12" x14ac:dyDescent="0.35">
      <c r="A14" s="2" t="s">
        <v>371</v>
      </c>
      <c r="B14" s="3">
        <v>45.05</v>
      </c>
      <c r="H14" s="2" t="s">
        <v>467</v>
      </c>
      <c r="I14" s="3">
        <v>7.8545454545454554</v>
      </c>
      <c r="J14" s="3"/>
      <c r="K14" s="3">
        <v>9.0133333333333336</v>
      </c>
      <c r="L14" s="3">
        <v>71.891666666666666</v>
      </c>
    </row>
    <row r="15" spans="1:12" x14ac:dyDescent="0.35">
      <c r="A15" s="2" t="s">
        <v>385</v>
      </c>
      <c r="B15" s="3">
        <v>46.44</v>
      </c>
      <c r="H15" s="2" t="s">
        <v>469</v>
      </c>
      <c r="I15" s="3">
        <v>10.676363636363634</v>
      </c>
      <c r="J15" s="3">
        <v>2.73</v>
      </c>
      <c r="K15" s="3">
        <v>48.333750000000002</v>
      </c>
      <c r="L15" s="3">
        <v>53.241428571428557</v>
      </c>
    </row>
    <row r="16" spans="1:12" x14ac:dyDescent="0.35">
      <c r="A16" s="2" t="s">
        <v>125</v>
      </c>
      <c r="B16" s="3">
        <v>47.83</v>
      </c>
      <c r="H16" s="2" t="s">
        <v>470</v>
      </c>
      <c r="I16" s="3">
        <v>9.6716441935483868</v>
      </c>
      <c r="J16" s="3">
        <v>6.96</v>
      </c>
      <c r="K16" s="3">
        <v>43.705600588235306</v>
      </c>
      <c r="L16" s="3">
        <v>49.152783385185195</v>
      </c>
    </row>
    <row r="17" spans="1:12" x14ac:dyDescent="0.35">
      <c r="A17" s="2" t="s">
        <v>201</v>
      </c>
      <c r="B17" s="3">
        <v>50</v>
      </c>
      <c r="H17" s="2" t="s">
        <v>461</v>
      </c>
      <c r="I17" s="3">
        <v>17.442273378480003</v>
      </c>
      <c r="J17" s="3">
        <v>27.86818178591837</v>
      </c>
      <c r="K17" s="3">
        <v>43.910541246046506</v>
      </c>
      <c r="L17" s="3">
        <v>53.320958108823532</v>
      </c>
    </row>
    <row r="18" spans="1:12" x14ac:dyDescent="0.35">
      <c r="A18" s="2" t="s">
        <v>211</v>
      </c>
      <c r="B18" s="3">
        <v>55.81</v>
      </c>
    </row>
    <row r="19" spans="1:12" x14ac:dyDescent="0.35">
      <c r="A19" s="2" t="s">
        <v>235</v>
      </c>
      <c r="B19" s="3">
        <v>58</v>
      </c>
    </row>
    <row r="20" spans="1:12" x14ac:dyDescent="0.35">
      <c r="A20" s="2" t="s">
        <v>363</v>
      </c>
      <c r="B20" s="3">
        <v>61</v>
      </c>
    </row>
    <row r="21" spans="1:12" x14ac:dyDescent="0.35">
      <c r="A21" s="2" t="s">
        <v>249</v>
      </c>
      <c r="B21" s="3">
        <v>64.599999999999994</v>
      </c>
    </row>
    <row r="22" spans="1:12" x14ac:dyDescent="0.35">
      <c r="A22" s="2" t="s">
        <v>155</v>
      </c>
      <c r="B22" s="3">
        <v>67</v>
      </c>
    </row>
    <row r="23" spans="1:12" x14ac:dyDescent="0.35">
      <c r="A23" s="2" t="s">
        <v>461</v>
      </c>
      <c r="B23" s="3">
        <v>53.783000000000001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D6BD-8A40-4C67-B3F2-82DED975131D}">
  <dimension ref="A1"/>
  <sheetViews>
    <sheetView showGridLines="0" tabSelected="1" zoomScale="73" workbookViewId="0">
      <selection activeCell="R19" sqref="R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72AF-7BAA-40CD-886D-96738638FF51}">
  <dimension ref="A1:B6"/>
  <sheetViews>
    <sheetView workbookViewId="0">
      <selection activeCell="G3" sqref="G3"/>
    </sheetView>
  </sheetViews>
  <sheetFormatPr defaultRowHeight="14.5" x14ac:dyDescent="0.35"/>
  <cols>
    <col min="1" max="1" width="11.81640625" bestFit="1" customWidth="1"/>
    <col min="2" max="2" width="18.36328125" bestFit="1" customWidth="1"/>
  </cols>
  <sheetData>
    <row r="1" spans="1:2" x14ac:dyDescent="0.35">
      <c r="A1" t="s">
        <v>3</v>
      </c>
      <c r="B1" t="s">
        <v>463</v>
      </c>
    </row>
    <row r="2" spans="1:2" x14ac:dyDescent="0.35">
      <c r="A2" t="s">
        <v>16</v>
      </c>
      <c r="B2" t="s">
        <v>464</v>
      </c>
    </row>
    <row r="3" spans="1:2" x14ac:dyDescent="0.35">
      <c r="A3" t="s">
        <v>465</v>
      </c>
      <c r="B3" t="s">
        <v>466</v>
      </c>
    </row>
    <row r="4" spans="1:2" x14ac:dyDescent="0.35">
      <c r="A4" t="s">
        <v>20</v>
      </c>
      <c r="B4" t="s">
        <v>467</v>
      </c>
    </row>
    <row r="5" spans="1:2" x14ac:dyDescent="0.35">
      <c r="A5" t="s">
        <v>24</v>
      </c>
      <c r="B5" t="s">
        <v>469</v>
      </c>
    </row>
    <row r="6" spans="1:2" x14ac:dyDescent="0.35">
      <c r="A6" t="s">
        <v>28</v>
      </c>
      <c r="B6" t="s">
        <v>470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9DF1CF-1543-497D-98DA-64A6BA3655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country_level_data</vt:lpstr>
      <vt:lpstr>PivotTables</vt:lpstr>
      <vt:lpstr>Dashboard</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 Abdulrahman Sarani</dc:creator>
  <cp:lastModifiedBy>Samira Abdulrahman Sarani</cp:lastModifiedBy>
  <dcterms:created xsi:type="dcterms:W3CDTF">2026-01-16T08:35:07Z</dcterms:created>
  <dcterms:modified xsi:type="dcterms:W3CDTF">2026-01-16T17:22:35Z</dcterms:modified>
</cp:coreProperties>
</file>